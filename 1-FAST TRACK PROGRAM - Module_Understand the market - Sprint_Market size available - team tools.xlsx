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Admin\Desktop\market size tool\"/>
    </mc:Choice>
  </mc:AlternateContent>
  <xr:revisionPtr revIDLastSave="0" documentId="13_ncr:1_{3FF8ACB0-62B9-48CB-BCCC-CA48BE518786}" xr6:coauthVersionLast="47" xr6:coauthVersionMax="47" xr10:uidLastSave="{00000000-0000-0000-0000-000000000000}"/>
  <bookViews>
    <workbookView xWindow="-110" yWindow="-110" windowWidth="38620" windowHeight="21100" tabRatio="916" activeTab="3" xr2:uid="{89A8F9B4-2672-4D07-A6C2-4BC2621DAAF9}"/>
  </bookViews>
  <sheets>
    <sheet name="Market size" sheetId="1" r:id="rId1"/>
    <sheet name="Market Attractiveness" sheetId="4" state="hidden" r:id="rId2"/>
    <sheet name="Driving Forces brainstorm" sheetId="2" r:id="rId3"/>
    <sheet name="Driving Forces impact"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 i="3" l="1"/>
  <c r="H13" i="1"/>
  <c r="H11" i="1"/>
  <c r="O9" i="4" l="1"/>
  <c r="G12" i="3"/>
  <c r="G14" i="3" s="1"/>
  <c r="P8" i="3"/>
  <c r="P7" i="3"/>
  <c r="P6" i="3"/>
  <c r="P5" i="3"/>
  <c r="G10" i="3" l="1"/>
  <c r="P9" i="4"/>
  <c r="I9" i="4"/>
  <c r="J9" i="4"/>
  <c r="K9" i="4"/>
  <c r="Q9" i="4"/>
  <c r="L9" i="4"/>
  <c r="H9" i="4"/>
  <c r="M9" i="4"/>
  <c r="N9" i="4"/>
  <c r="R9" i="4" l="1"/>
  <c r="O10" i="4" s="1"/>
  <c r="O11" i="4" s="1"/>
  <c r="P14" i="4"/>
  <c r="H14" i="4"/>
  <c r="O14" i="4"/>
  <c r="N14" i="4"/>
  <c r="K14" i="4"/>
  <c r="M14" i="4"/>
  <c r="J14" i="4"/>
  <c r="L14" i="4"/>
  <c r="Q14" i="4"/>
  <c r="I14" i="4"/>
  <c r="K10" i="4" l="1"/>
  <c r="K11" i="4" s="1"/>
  <c r="P10" i="4"/>
  <c r="P11" i="4" s="1"/>
  <c r="N10" i="4"/>
  <c r="N11" i="4" s="1"/>
  <c r="M10" i="4"/>
  <c r="M11" i="4" s="1"/>
  <c r="Q10" i="4"/>
  <c r="Q11" i="4" s="1"/>
  <c r="L10" i="4"/>
  <c r="L11" i="4" s="1"/>
  <c r="R14" i="4"/>
  <c r="M15" i="4" s="1"/>
  <c r="M16" i="4" s="1"/>
  <c r="M20" i="4" s="1"/>
  <c r="J10" i="4"/>
  <c r="J11" i="4" s="1"/>
  <c r="I10" i="4"/>
  <c r="I11" i="4" s="1"/>
  <c r="H10" i="4"/>
  <c r="H11" i="4" s="1"/>
  <c r="H15" i="4" l="1"/>
  <c r="H16" i="4" s="1"/>
  <c r="H20" i="4" s="1"/>
  <c r="Q15" i="4"/>
  <c r="Q16" i="4" s="1"/>
  <c r="Q20" i="4" s="1"/>
  <c r="I15" i="4"/>
  <c r="I16" i="4" s="1"/>
  <c r="I20" i="4" s="1"/>
  <c r="O15" i="4"/>
  <c r="O16" i="4" s="1"/>
  <c r="O20" i="4" s="1"/>
  <c r="L15" i="4"/>
  <c r="L16" i="4" s="1"/>
  <c r="L20" i="4" s="1"/>
  <c r="N15" i="4"/>
  <c r="N16" i="4" s="1"/>
  <c r="N20" i="4" s="1"/>
  <c r="J15" i="4"/>
  <c r="J16" i="4" s="1"/>
  <c r="J20" i="4" s="1"/>
  <c r="P15" i="4"/>
  <c r="P16" i="4" s="1"/>
  <c r="P20" i="4" s="1"/>
  <c r="K15" i="4"/>
  <c r="K16" i="4" s="1"/>
  <c r="K20" i="4" s="1"/>
  <c r="E14" i="3" l="1"/>
  <c r="E12" i="3"/>
  <c r="E10" i="3"/>
  <c r="J24" i="2"/>
  <c r="B24" i="2"/>
  <c r="C24" i="2" s="1"/>
  <c r="A24" i="2"/>
  <c r="J23" i="2"/>
  <c r="B23" i="2"/>
  <c r="C23" i="2" s="1"/>
  <c r="A23" i="2"/>
  <c r="J22" i="2"/>
  <c r="B22" i="2"/>
  <c r="C22" i="2" s="1"/>
  <c r="A22" i="2"/>
  <c r="J21" i="2"/>
  <c r="J20" i="2"/>
  <c r="J19" i="2"/>
  <c r="J18" i="2"/>
  <c r="A18" i="2" s="1"/>
  <c r="J17" i="2"/>
  <c r="J16" i="2"/>
  <c r="J15" i="2"/>
  <c r="J14" i="2"/>
  <c r="J13" i="2"/>
  <c r="J12" i="2"/>
  <c r="J11" i="2"/>
  <c r="J10" i="2"/>
  <c r="J9" i="2"/>
  <c r="J8" i="2"/>
  <c r="J7" i="2"/>
  <c r="J6" i="2"/>
  <c r="F13" i="1"/>
  <c r="F11" i="1"/>
  <c r="A11" i="2" l="1"/>
  <c r="A10" i="2"/>
  <c r="P14" i="3"/>
  <c r="B7" i="2"/>
  <c r="B9" i="2"/>
  <c r="A14" i="2"/>
  <c r="A16" i="2"/>
  <c r="A8" i="2"/>
  <c r="B11" i="2"/>
  <c r="C11" i="2" s="1"/>
  <c r="B17" i="2"/>
  <c r="B12" i="2"/>
  <c r="A13" i="2"/>
  <c r="B19" i="2"/>
  <c r="B18" i="2"/>
  <c r="C18" i="2" s="1"/>
  <c r="B20" i="2"/>
  <c r="B15" i="2"/>
  <c r="B21" i="2"/>
  <c r="A9" i="2"/>
  <c r="A7" i="2"/>
  <c r="B14" i="2"/>
  <c r="C14" i="2" s="1"/>
  <c r="B6" i="2"/>
  <c r="B8" i="2"/>
  <c r="B13" i="2"/>
  <c r="B10" i="2"/>
  <c r="A15" i="2"/>
  <c r="A17" i="2"/>
  <c r="C17" i="2" s="1"/>
  <c r="A19" i="2"/>
  <c r="A21" i="2"/>
  <c r="A12" i="2"/>
  <c r="A20" i="2"/>
  <c r="A6" i="2"/>
  <c r="B16" i="2"/>
  <c r="C16" i="2" s="1"/>
  <c r="C10" i="2" l="1"/>
  <c r="C9" i="2"/>
  <c r="C19" i="2"/>
  <c r="C15" i="2"/>
  <c r="C20" i="2"/>
  <c r="C21" i="2"/>
  <c r="C7" i="2"/>
  <c r="C8" i="2"/>
  <c r="C12" i="2"/>
  <c r="C6" i="2"/>
  <c r="C13" i="2"/>
  <c r="M9" i="2" l="1"/>
  <c r="J4" i="3" s="1"/>
  <c r="M13" i="2"/>
  <c r="N4" i="3" s="1"/>
  <c r="M10" i="2"/>
  <c r="K4" i="3" s="1"/>
  <c r="M14" i="2"/>
  <c r="O4" i="3" s="1"/>
  <c r="M11" i="2"/>
  <c r="L4" i="3" s="1"/>
  <c r="M12" i="2"/>
  <c r="M4" i="3" s="1"/>
  <c r="M6" i="2"/>
  <c r="I4" i="3" s="1"/>
</calcChain>
</file>

<file path=xl/sharedStrings.xml><?xml version="1.0" encoding="utf-8"?>
<sst xmlns="http://schemas.openxmlformats.org/spreadsheetml/2006/main" count="88" uniqueCount="72">
  <si>
    <t>Market Size</t>
  </si>
  <si>
    <r>
      <rPr>
        <b/>
        <sz val="16"/>
        <color rgb="FF000000"/>
        <rFont val="Calibri"/>
        <family val="2"/>
      </rPr>
      <t xml:space="preserve">WHY
</t>
    </r>
    <r>
      <rPr>
        <sz val="10"/>
        <color rgb="FF000000"/>
        <rFont val="Calibri"/>
        <family val="2"/>
      </rPr>
      <t xml:space="preserve">Setting targets precedes strategy formulation. Market size and profitability are the only viable context within which the business can set targets and develop strategies.
</t>
    </r>
    <r>
      <rPr>
        <b/>
        <sz val="16"/>
        <color rgb="FF000000"/>
        <rFont val="Calibri"/>
        <family val="2"/>
      </rPr>
      <t xml:space="preserve">WHAT
</t>
    </r>
    <r>
      <rPr>
        <sz val="10"/>
        <color rgb="FF000000"/>
        <rFont val="Calibri"/>
        <family val="2"/>
      </rPr>
      <t xml:space="preserve">Determine the size of the market in terms of total size and total profit pool.
</t>
    </r>
    <r>
      <rPr>
        <b/>
        <sz val="16"/>
        <color rgb="FF000000"/>
        <rFont val="Calibri"/>
        <family val="2"/>
      </rPr>
      <t xml:space="preserve">HOW
</t>
    </r>
    <r>
      <rPr>
        <sz val="10"/>
        <color rgb="FF000000"/>
        <rFont val="Calibri"/>
        <family val="2"/>
      </rPr>
      <t>1. Define the number of customers who are potential buyers for your product and service.
2. Determine how many products or services they buy per year.
3. Determine the average price they pay per product/ service.
4. The multiplication of the above 3 variables will give you the size of the market.
5. Multiply by your average gross margin %.
6. This will provide you with the overall profit pool in the market.</t>
    </r>
  </si>
  <si>
    <t>Total Number of Customers</t>
  </si>
  <si>
    <t>Average Spending per Customer</t>
  </si>
  <si>
    <t>Average Number of Purchases per Year</t>
  </si>
  <si>
    <t>Gross Profit Margin (%)</t>
  </si>
  <si>
    <t xml:space="preserve"> </t>
  </si>
  <si>
    <t>Profit Pool</t>
  </si>
  <si>
    <t>Next</t>
  </si>
  <si>
    <t>Driving Forces Brainstorm</t>
  </si>
  <si>
    <t>Optional tool in case you seek geographical expansion</t>
  </si>
  <si>
    <t>MARKET ATTRACTIVENESS INDEX</t>
  </si>
  <si>
    <t>Averaged numbers from base country</t>
  </si>
  <si>
    <t>Country 1</t>
  </si>
  <si>
    <t>Country 2</t>
  </si>
  <si>
    <t>Country 3</t>
  </si>
  <si>
    <t>Country 4</t>
  </si>
  <si>
    <t>Country 5</t>
  </si>
  <si>
    <t>Country 6</t>
  </si>
  <si>
    <t>Country 7</t>
  </si>
  <si>
    <t>Country 8</t>
  </si>
  <si>
    <t>Country 9</t>
  </si>
  <si>
    <t>Country 10</t>
  </si>
  <si>
    <t>The model provides a combination of the market reality and your own assessment of the strategic relevance of the country. It is a good starting point to evaluate alternative directions for expansion</t>
  </si>
  <si>
    <t>Sales per person - USD</t>
  </si>
  <si>
    <t>population "000</t>
  </si>
  <si>
    <t xml:space="preserve">profit per person USD </t>
  </si>
  <si>
    <t>market size adjustment</t>
  </si>
  <si>
    <t>Do calculations for one BASE country - sales per person and profit per person - E6 and E7</t>
  </si>
  <si>
    <t>Size and profitability adjustment</t>
  </si>
  <si>
    <t>Market size '000</t>
  </si>
  <si>
    <t>Choose the counties for which you want to perform the analyses and input population in row 6</t>
  </si>
  <si>
    <t>average adjustment</t>
  </si>
  <si>
    <t>Much better compared to base</t>
  </si>
  <si>
    <t>market size index (-3 to +3)</t>
  </si>
  <si>
    <t>Adjust the market size per country in row 8 in accordance with the scoring mechanism</t>
  </si>
  <si>
    <t>better than base</t>
  </si>
  <si>
    <t>Adjust the profit pool per country  in row 13  per country according to the scoring adjustment</t>
  </si>
  <si>
    <t>same</t>
  </si>
  <si>
    <t>Profit pool adjustment</t>
  </si>
  <si>
    <t>Determine the country attractiveness index (-3 - +3) in row 18</t>
  </si>
  <si>
    <t>worse than base</t>
  </si>
  <si>
    <t>Profit pool '000</t>
  </si>
  <si>
    <t>row 19 automatically calculates the country attractiveness index</t>
  </si>
  <si>
    <t>much worse than base</t>
  </si>
  <si>
    <t>profit  size index (-3 to +3)</t>
  </si>
  <si>
    <t>Final score is automatically calculated in row 20</t>
  </si>
  <si>
    <t>Country attractiveness adjustment</t>
  </si>
  <si>
    <t>country attractiveness</t>
  </si>
  <si>
    <t>Please only work on the BLUE cells</t>
  </si>
  <si>
    <t>very attractive</t>
  </si>
  <si>
    <t>attractive</t>
  </si>
  <si>
    <t>Overall attractiveness index</t>
  </si>
  <si>
    <t>neutral</t>
  </si>
  <si>
    <t>not attractive</t>
  </si>
  <si>
    <t>very unattractive</t>
  </si>
  <si>
    <t>Rank</t>
  </si>
  <si>
    <r>
      <rPr>
        <b/>
        <sz val="16"/>
        <color theme="1"/>
        <rFont val="Calibri"/>
        <family val="2"/>
        <scheme val="minor"/>
      </rPr>
      <t>WHY</t>
    </r>
    <r>
      <rPr>
        <sz val="10"/>
        <color theme="1"/>
        <rFont val="Calibri"/>
        <family val="2"/>
        <scheme val="minor"/>
      </rPr>
      <t xml:space="preserve">
So the ability to predict the future is the ability to understand the driving forces. This tool will help you determine what are the forces in the environment that are going to have an impact on these numbers over the next three, four years.
</t>
    </r>
    <r>
      <rPr>
        <b/>
        <sz val="16"/>
        <color theme="1"/>
        <rFont val="Calibri"/>
        <family val="2"/>
        <scheme val="minor"/>
      </rPr>
      <t>WHAT</t>
    </r>
    <r>
      <rPr>
        <sz val="10"/>
        <color theme="1"/>
        <rFont val="Calibri"/>
        <family val="2"/>
        <scheme val="minor"/>
      </rPr>
      <t xml:space="preserve">
Identify and describe the main driving forces today that will determine the changes in your industry in the next 3 years.
</t>
    </r>
    <r>
      <rPr>
        <b/>
        <sz val="16"/>
        <color theme="1"/>
        <rFont val="Calibri"/>
        <family val="2"/>
        <scheme val="minor"/>
      </rPr>
      <t>HOW</t>
    </r>
    <r>
      <rPr>
        <sz val="10"/>
        <color theme="1"/>
        <rFont val="Calibri"/>
        <family val="2"/>
        <scheme val="minor"/>
      </rPr>
      <t xml:space="preserve">
1. Create a list of the driving forces that are visible today.
2. Evaluate their potential impact on the industry
    • 1 - very low impact
    • 5 - very high impact
3. Evaluate the probability of occurence
    • 1 - very low probability
    • 5 - very high probability
</t>
    </r>
    <r>
      <rPr>
        <b/>
        <sz val="16"/>
        <color theme="1"/>
        <rFont val="Calibri"/>
        <family val="2"/>
        <scheme val="minor"/>
      </rPr>
      <t>MISTAKES TO AVOID</t>
    </r>
    <r>
      <rPr>
        <sz val="10"/>
        <color theme="1"/>
        <rFont val="Calibri"/>
        <family val="2"/>
        <scheme val="minor"/>
      </rPr>
      <t xml:space="preserve">
1. Not having the top 3-5 driving forces with biggest impact.
2. Not understanding their impact on the industry.
3. Not eliminating the blind spots that hide some driving forces.
4. Not underestimate the speed and impact of technology.
5. Not interpret correctly the impact on consumer’s behaviour.</t>
    </r>
  </si>
  <si>
    <t>List Driving Forces</t>
  </si>
  <si>
    <r>
      <t xml:space="preserve">Impact
</t>
    </r>
    <r>
      <rPr>
        <b/>
        <sz val="14"/>
        <color rgb="FF000000"/>
        <rFont val="Calibri"/>
        <family val="2"/>
        <scheme val="minor"/>
      </rPr>
      <t>(1-5)</t>
    </r>
  </si>
  <si>
    <r>
      <t xml:space="preserve">Probability
</t>
    </r>
    <r>
      <rPr>
        <b/>
        <sz val="14"/>
        <color rgb="FF000000"/>
        <rFont val="Calibri"/>
        <family val="2"/>
        <scheme val="minor"/>
      </rPr>
      <t>(1-5)</t>
    </r>
  </si>
  <si>
    <t>Score</t>
  </si>
  <si>
    <t>Top 10 Driving Forces</t>
  </si>
  <si>
    <t>Back</t>
  </si>
  <si>
    <t>Driving Forces Impact</t>
  </si>
  <si>
    <r>
      <rPr>
        <b/>
        <sz val="10"/>
        <color rgb="FF000000"/>
        <rFont val="Calibri"/>
        <family val="2"/>
      </rPr>
      <t xml:space="preserve">WHY
</t>
    </r>
    <r>
      <rPr>
        <sz val="10"/>
        <color rgb="FF000000"/>
        <rFont val="Calibri"/>
        <family val="2"/>
      </rPr>
      <t xml:space="preserve">We are creating a strategy not for today, but for the next 3 years
</t>
    </r>
    <r>
      <rPr>
        <b/>
        <sz val="10"/>
        <color rgb="FF000000"/>
        <rFont val="Calibri"/>
        <family val="2"/>
      </rPr>
      <t xml:space="preserve">WHAT
</t>
    </r>
    <r>
      <rPr>
        <sz val="10"/>
        <color rgb="FF000000"/>
        <rFont val="Calibri"/>
        <family val="2"/>
      </rPr>
      <t xml:space="preserve">Understand how the market will change in the next years by estimating the effect of the driving forces on:
1. Number of clients
2. Their spending 
3. Their number of purchases
4. Your gross profit margin
</t>
    </r>
    <r>
      <rPr>
        <b/>
        <sz val="10"/>
        <color rgb="FF000000"/>
        <rFont val="Calibri"/>
        <family val="2"/>
      </rPr>
      <t xml:space="preserve">HOW
</t>
    </r>
    <r>
      <rPr>
        <sz val="10"/>
        <color rgb="FF000000"/>
        <rFont val="Calibri"/>
        <family val="2"/>
      </rPr>
      <t xml:space="preserve">Understand what could be the impact of driving forces on:
1. Insert by what % amount (positive or negative) each driving force will change the four pillars (e.g. average spending will increase by 10%)
</t>
    </r>
  </si>
  <si>
    <t>Customers</t>
  </si>
  <si>
    <t>Segment Brainstorm</t>
  </si>
  <si>
    <t>DRIVING FORCES BRAINSTORM</t>
  </si>
  <si>
    <t>TOP DIRIVING FORCES</t>
  </si>
  <si>
    <t>MARKET SIZE AVAILABLE</t>
  </si>
  <si>
    <t>DRIVING FORCES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</si>
</sst>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_(* #,##0_);_(* \(#,##0\);_(* &quot;-&quot;??_);_(@_)"/>
    <numFmt numFmtId="167" formatCode="_(&quot;$&quot;* #,##0_);_(&quot;$&quot;* \(#,##0\);_(&quot;$&quot;* &quot;-&quot;??_);_(@_)"/>
    <numFmt numFmtId="168" formatCode="_([$$-409]* #,##0_);_([$$-409]* \(#,##0\);_([$$-409]* &quot;-&quot;??_);_(@_)"/>
    <numFmt numFmtId="169" formatCode="_(* #,##0.000000000_);_(* \(#,##0.000000000\);_(* &quot;-&quot;??_);_(@_)"/>
    <numFmt numFmtId="170" formatCode="_-[$$-409]* #,##0_ ;_-[$$-409]* \-#,##0\ ;_-[$$-409]* &quot;-&quot;??_ ;_-@_ "/>
    <numFmt numFmtId="171" formatCode="_([$€-2]\ * #,##0_);_([$€-2]\ * \(#,##0\);_([$€-2]\ * &quot;-&quot;??_);_(@_)"/>
    <numFmt numFmtId="172" formatCode="_([$€-2]\ * #,##0.00_);_([$€-2]\ * \(#,##0.00\);_([$€-2]\ * &quot;-&quot;??_);_(@_)"/>
  </numFmts>
  <fonts count="3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charset val="204"/>
      <scheme val="minor"/>
    </font>
    <font>
      <b/>
      <sz val="36"/>
      <color theme="0"/>
      <name val="Calibri"/>
      <family val="2"/>
      <scheme val="minor"/>
    </font>
    <font>
      <sz val="10"/>
      <color theme="1"/>
      <name val="Calibri"/>
      <family val="2"/>
      <scheme val="minor"/>
    </font>
    <font>
      <b/>
      <sz val="16"/>
      <color theme="1"/>
      <name val="Calibri"/>
      <family val="2"/>
      <scheme val="minor"/>
    </font>
    <font>
      <sz val="20"/>
      <color theme="1"/>
      <name val="Calibri"/>
      <family val="2"/>
      <charset val="204"/>
      <scheme val="minor"/>
    </font>
    <font>
      <sz val="24"/>
      <color theme="1"/>
      <name val="Calibri"/>
      <family val="2"/>
      <charset val="204"/>
      <scheme val="minor"/>
    </font>
    <font>
      <b/>
      <sz val="24"/>
      <color theme="1"/>
      <name val="Calibri"/>
      <family val="2"/>
      <scheme val="minor"/>
    </font>
    <font>
      <b/>
      <sz val="28"/>
      <color theme="1"/>
      <name val="Calibri"/>
      <family val="2"/>
      <scheme val="minor"/>
    </font>
    <font>
      <b/>
      <i/>
      <sz val="14"/>
      <color theme="0"/>
      <name val="Calibri"/>
      <family val="2"/>
      <scheme val="minor"/>
    </font>
    <font>
      <sz val="11"/>
      <name val="Calibri"/>
      <family val="2"/>
      <scheme val="minor"/>
    </font>
    <font>
      <sz val="16"/>
      <color theme="0"/>
      <name val="Calibri"/>
      <family val="2"/>
      <scheme val="minor"/>
    </font>
    <font>
      <b/>
      <sz val="22"/>
      <color theme="0"/>
      <name val="Calibri"/>
      <family val="2"/>
      <scheme val="minor"/>
    </font>
    <font>
      <sz val="20"/>
      <color theme="1"/>
      <name val="Calibri"/>
      <family val="2"/>
      <scheme val="minor"/>
    </font>
    <font>
      <b/>
      <sz val="22"/>
      <color theme="1"/>
      <name val="Calibri"/>
      <family val="2"/>
      <scheme val="minor"/>
    </font>
    <font>
      <b/>
      <sz val="18"/>
      <color theme="1"/>
      <name val="Calibri"/>
      <family val="2"/>
      <scheme val="minor"/>
    </font>
    <font>
      <sz val="18"/>
      <color theme="1"/>
      <name val="Calibri"/>
      <family val="2"/>
      <scheme val="minor"/>
    </font>
    <font>
      <b/>
      <sz val="20"/>
      <color theme="1"/>
      <name val="Calibri"/>
      <family val="2"/>
      <scheme val="minor"/>
    </font>
    <font>
      <u/>
      <sz val="14"/>
      <color theme="1"/>
      <name val="Calibri"/>
      <family val="2"/>
      <scheme val="minor"/>
    </font>
    <font>
      <sz val="14"/>
      <color theme="1"/>
      <name val="Calibri"/>
      <family val="2"/>
      <charset val="204"/>
      <scheme val="minor"/>
    </font>
    <font>
      <sz val="16"/>
      <color theme="1"/>
      <name val="Calibri"/>
      <family val="2"/>
      <charset val="204"/>
      <scheme val="minor"/>
    </font>
    <font>
      <sz val="26"/>
      <color theme="0"/>
      <name val="Calibri"/>
      <family val="2"/>
      <charset val="204"/>
      <scheme val="minor"/>
    </font>
    <font>
      <i/>
      <sz val="10"/>
      <color theme="1"/>
      <name val="Calibri"/>
      <family val="2"/>
      <scheme val="minor"/>
    </font>
    <font>
      <b/>
      <sz val="12"/>
      <color theme="1"/>
      <name val="Calibri"/>
      <family val="2"/>
      <scheme val="minor"/>
    </font>
    <font>
      <b/>
      <sz val="16"/>
      <color rgb="FF000000"/>
      <name val="Calibri"/>
      <family val="2"/>
    </font>
    <font>
      <sz val="10"/>
      <color rgb="FF000000"/>
      <name val="Calibri"/>
      <family val="2"/>
    </font>
    <font>
      <b/>
      <sz val="20"/>
      <color rgb="FF000000"/>
      <name val="Calibri"/>
      <family val="2"/>
      <scheme val="minor"/>
    </font>
    <font>
      <b/>
      <sz val="14"/>
      <color rgb="FF000000"/>
      <name val="Calibri"/>
      <family val="2"/>
      <scheme val="minor"/>
    </font>
    <font>
      <b/>
      <sz val="10"/>
      <color rgb="FF000000"/>
      <name val="Calibri"/>
      <family val="2"/>
    </font>
    <font>
      <sz val="18"/>
      <color rgb="FFFF0000"/>
      <name val="Calibri"/>
      <family val="2"/>
      <charset val="204"/>
    </font>
    <font>
      <sz val="36"/>
      <color theme="0"/>
      <name val="Arial black"/>
      <family val="2"/>
    </font>
    <font>
      <sz val="26"/>
      <color theme="0"/>
      <name val="Arial black"/>
      <family val="2"/>
    </font>
    <font>
      <b/>
      <sz val="26"/>
      <color theme="0"/>
      <name val="Calibri"/>
      <family val="2"/>
      <scheme val="minor"/>
    </font>
    <font>
      <b/>
      <sz val="26"/>
      <color theme="0"/>
      <name val="Arial BLACK"/>
      <family val="2"/>
    </font>
  </fonts>
  <fills count="14">
    <fill>
      <patternFill patternType="none"/>
    </fill>
    <fill>
      <patternFill patternType="gray125"/>
    </fill>
    <fill>
      <patternFill patternType="solid">
        <fgColor theme="1"/>
        <bgColor indexed="64"/>
      </patternFill>
    </fill>
    <fill>
      <gradientFill degree="90">
        <stop position="0">
          <color theme="0" tint="-5.0965910824915313E-2"/>
        </stop>
        <stop position="1">
          <color theme="0" tint="-0.1490218817712943"/>
        </stop>
      </gradientFill>
    </fill>
    <fill>
      <patternFill patternType="solid">
        <fgColor theme="8" tint="0.79998168889431442"/>
        <bgColor indexed="64"/>
      </patternFill>
    </fill>
    <fill>
      <patternFill patternType="solid">
        <fgColor rgb="FFFFF469"/>
        <bgColor indexed="64"/>
      </patternFill>
    </fill>
    <fill>
      <gradientFill degree="90">
        <stop position="0">
          <color rgb="FF00B050"/>
        </stop>
        <stop position="1">
          <color theme="9" tint="-0.25098422193060094"/>
        </stop>
      </gradientFill>
    </fill>
    <fill>
      <patternFill patternType="solid">
        <fgColor rgb="FFFF3300"/>
        <bgColor indexed="64"/>
      </patternFill>
    </fill>
    <fill>
      <gradientFill degree="90">
        <stop position="0">
          <color theme="0" tint="-0.1490218817712943"/>
        </stop>
        <stop position="1">
          <color theme="0" tint="-0.34900967436750391"/>
        </stop>
      </gradientFill>
    </fill>
    <fill>
      <patternFill patternType="solid">
        <fgColor theme="0" tint="-0.24997711111789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FF"/>
        <bgColor indexed="64"/>
      </patternFill>
    </fill>
    <fill>
      <patternFill patternType="solid">
        <fgColor rgb="FFFFFFFF"/>
        <bgColor rgb="FF000000"/>
      </patternFill>
    </fill>
  </fills>
  <borders count="36">
    <border>
      <left/>
      <right/>
      <top/>
      <bottom/>
      <diagonal/>
    </border>
    <border>
      <left/>
      <right/>
      <top style="thin">
        <color theme="4"/>
      </top>
      <bottom style="double">
        <color theme="4"/>
      </bottom>
      <diagonal/>
    </border>
    <border>
      <left style="thin">
        <color theme="0" tint="-0.14999847407452621"/>
      </left>
      <right/>
      <top/>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bottom style="thin">
        <color theme="0" tint="-0.14999847407452621"/>
      </bottom>
      <diagonal/>
    </border>
    <border>
      <left style="thin">
        <color theme="0" tint="-0.14999847407452621"/>
      </left>
      <right/>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medium">
        <color indexed="64"/>
      </left>
      <right/>
      <top style="medium">
        <color indexed="64"/>
      </top>
      <bottom/>
      <diagonal/>
    </border>
    <border>
      <left/>
      <right/>
      <top style="medium">
        <color indexed="64"/>
      </top>
      <bottom/>
      <diagonal/>
    </border>
    <border>
      <left style="medium">
        <color theme="0" tint="-0.14999847407452621"/>
      </left>
      <right style="medium">
        <color theme="0" tint="-0.14999847407452621"/>
      </right>
      <top style="medium">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bottom style="thin">
        <color indexed="64"/>
      </bottom>
      <diagonal/>
    </border>
    <border>
      <left style="medium">
        <color indexed="64"/>
      </left>
      <right/>
      <top/>
      <bottom/>
      <diagonal/>
    </border>
    <border>
      <left style="medium">
        <color theme="0" tint="-0.14999847407452621"/>
      </left>
      <right style="medium">
        <color theme="0" tint="-0.14999847407452621"/>
      </right>
      <top style="medium">
        <color indexed="64"/>
      </top>
      <bottom style="thin">
        <color indexed="64"/>
      </bottom>
      <diagonal/>
    </border>
    <border>
      <left style="thin">
        <color theme="0"/>
      </left>
      <right style="thin">
        <color theme="0"/>
      </right>
      <top style="thin">
        <color theme="0"/>
      </top>
      <bottom style="thin">
        <color theme="0"/>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medium">
        <color theme="0" tint="-0.14999847407452621"/>
      </left>
      <right style="medium">
        <color theme="0" tint="-0.14999847407452621"/>
      </right>
      <top style="thin">
        <color indexed="64"/>
      </top>
      <bottom style="thin">
        <color indexed="64"/>
      </bottom>
      <diagonal/>
    </border>
    <border>
      <left/>
      <right style="thin">
        <color theme="0" tint="-0.14999847407452621"/>
      </right>
      <top/>
      <bottom style="thin">
        <color theme="0" tint="-0.14999847407452621"/>
      </bottom>
      <diagonal/>
    </border>
    <border>
      <left style="medium">
        <color theme="0" tint="-0.14999847407452621"/>
      </left>
      <right style="medium">
        <color theme="0" tint="-0.14999847407452621"/>
      </right>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9">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cellStyleXfs>
  <cellXfs count="115">
    <xf numFmtId="0" fontId="0" fillId="0" borderId="0" xfId="0"/>
    <xf numFmtId="0" fontId="4" fillId="0" borderId="0" xfId="6"/>
    <xf numFmtId="166" fontId="9" fillId="4" borderId="4" xfId="1" applyNumberFormat="1" applyFont="1" applyFill="1" applyBorder="1" applyProtection="1">
      <protection locked="0"/>
    </xf>
    <xf numFmtId="0" fontId="9" fillId="4" borderId="4" xfId="6" applyFont="1" applyFill="1" applyBorder="1" applyProtection="1">
      <protection locked="0"/>
    </xf>
    <xf numFmtId="9" fontId="9" fillId="4" borderId="4" xfId="6" applyNumberFormat="1" applyFont="1" applyFill="1" applyBorder="1" applyProtection="1">
      <protection locked="0"/>
    </xf>
    <xf numFmtId="0" fontId="10" fillId="5" borderId="0" xfId="6" applyFont="1" applyFill="1" applyAlignment="1">
      <alignment vertical="center"/>
    </xf>
    <xf numFmtId="0" fontId="10" fillId="5" borderId="0" xfId="6" applyFont="1" applyFill="1" applyAlignment="1">
      <alignment horizontal="left" vertical="center"/>
    </xf>
    <xf numFmtId="0" fontId="12" fillId="2" borderId="4" xfId="0" applyFont="1" applyFill="1" applyBorder="1" applyAlignment="1">
      <alignment horizontal="right"/>
    </xf>
    <xf numFmtId="0" fontId="13" fillId="0" borderId="0" xfId="0" applyFont="1"/>
    <xf numFmtId="0" fontId="5" fillId="2" borderId="0" xfId="0" applyFont="1" applyFill="1"/>
    <xf numFmtId="0" fontId="13" fillId="0" borderId="9" xfId="0" applyFont="1" applyBorder="1"/>
    <xf numFmtId="0" fontId="13" fillId="0" borderId="10" xfId="0" applyFont="1" applyBorder="1"/>
    <xf numFmtId="0" fontId="13" fillId="0" borderId="11" xfId="0" applyFont="1" applyBorder="1"/>
    <xf numFmtId="0" fontId="13" fillId="0" borderId="14" xfId="0" applyFont="1" applyBorder="1"/>
    <xf numFmtId="0" fontId="13" fillId="0" borderId="15" xfId="0" applyFont="1" applyBorder="1"/>
    <xf numFmtId="0" fontId="16" fillId="4" borderId="16" xfId="0" applyFont="1" applyFill="1" applyBorder="1" applyProtection="1">
      <protection locked="0"/>
    </xf>
    <xf numFmtId="0" fontId="13" fillId="0" borderId="19" xfId="0" applyFont="1" applyBorder="1"/>
    <xf numFmtId="0" fontId="22" fillId="9" borderId="16" xfId="6" applyFont="1" applyFill="1" applyBorder="1" applyAlignment="1">
      <alignment horizontal="left" vertical="top" wrapText="1"/>
    </xf>
    <xf numFmtId="9" fontId="23" fillId="4" borderId="16" xfId="3" applyFont="1" applyFill="1" applyBorder="1" applyProtection="1">
      <protection locked="0"/>
    </xf>
    <xf numFmtId="9" fontId="4" fillId="0" borderId="0" xfId="3" applyFont="1" applyBorder="1"/>
    <xf numFmtId="3" fontId="4" fillId="0" borderId="0" xfId="6" applyNumberFormat="1"/>
    <xf numFmtId="3" fontId="4" fillId="0" borderId="0" xfId="6" applyNumberFormat="1" applyProtection="1">
      <protection locked="0"/>
    </xf>
    <xf numFmtId="3" fontId="24" fillId="2" borderId="0" xfId="6" applyNumberFormat="1" applyFont="1" applyFill="1"/>
    <xf numFmtId="3" fontId="2" fillId="9" borderId="9" xfId="6" applyNumberFormat="1" applyFont="1" applyFill="1" applyBorder="1"/>
    <xf numFmtId="3" fontId="2" fillId="9" borderId="10" xfId="6" applyNumberFormat="1" applyFont="1" applyFill="1" applyBorder="1"/>
    <xf numFmtId="3" fontId="2" fillId="9" borderId="22" xfId="6" applyNumberFormat="1" applyFont="1" applyFill="1" applyBorder="1"/>
    <xf numFmtId="3" fontId="1" fillId="10" borderId="23" xfId="6" applyNumberFormat="1" applyFont="1" applyFill="1" applyBorder="1"/>
    <xf numFmtId="3" fontId="1" fillId="10" borderId="24" xfId="6" applyNumberFormat="1" applyFont="1" applyFill="1" applyBorder="1"/>
    <xf numFmtId="3" fontId="4" fillId="0" borderId="14" xfId="6" applyNumberFormat="1" applyBorder="1"/>
    <xf numFmtId="3" fontId="4" fillId="0" borderId="25" xfId="6" applyNumberFormat="1" applyBorder="1"/>
    <xf numFmtId="168" fontId="4" fillId="11" borderId="25" xfId="6" applyNumberFormat="1" applyFill="1" applyBorder="1" applyProtection="1">
      <protection locked="0"/>
    </xf>
    <xf numFmtId="3" fontId="4" fillId="11" borderId="27" xfId="6" applyNumberFormat="1" applyFill="1" applyBorder="1" applyProtection="1">
      <protection locked="0"/>
    </xf>
    <xf numFmtId="3" fontId="4" fillId="11" borderId="28" xfId="6" applyNumberFormat="1" applyFill="1" applyBorder="1" applyProtection="1">
      <protection locked="0"/>
    </xf>
    <xf numFmtId="168" fontId="4" fillId="11" borderId="31" xfId="2" applyNumberFormat="1" applyFont="1" applyFill="1" applyBorder="1" applyProtection="1">
      <protection locked="0"/>
    </xf>
    <xf numFmtId="9" fontId="0" fillId="11" borderId="0" xfId="7" applyFont="1" applyFill="1" applyBorder="1" applyProtection="1">
      <protection locked="0"/>
    </xf>
    <xf numFmtId="9" fontId="0" fillId="11" borderId="25" xfId="7" applyFont="1" applyFill="1" applyBorder="1" applyProtection="1">
      <protection locked="0"/>
    </xf>
    <xf numFmtId="3" fontId="2" fillId="10" borderId="0" xfId="6" applyNumberFormat="1" applyFont="1" applyFill="1" applyProtection="1">
      <protection locked="0"/>
    </xf>
    <xf numFmtId="3" fontId="4" fillId="10" borderId="0" xfId="6" applyNumberFormat="1" applyFill="1" applyProtection="1">
      <protection locked="0"/>
    </xf>
    <xf numFmtId="9" fontId="4" fillId="0" borderId="0" xfId="6" applyNumberFormat="1"/>
    <xf numFmtId="9" fontId="4" fillId="0" borderId="25" xfId="6" applyNumberFormat="1" applyBorder="1"/>
    <xf numFmtId="9" fontId="0" fillId="0" borderId="25" xfId="7" applyFont="1" applyBorder="1" applyProtection="1"/>
    <xf numFmtId="3" fontId="4" fillId="0" borderId="27" xfId="6" applyNumberFormat="1" applyBorder="1" applyAlignment="1">
      <alignment horizontal="right"/>
    </xf>
    <xf numFmtId="3" fontId="4" fillId="0" borderId="28" xfId="6" applyNumberFormat="1" applyBorder="1" applyAlignment="1">
      <alignment horizontal="right"/>
    </xf>
    <xf numFmtId="9" fontId="0" fillId="0" borderId="31" xfId="7" applyFont="1" applyBorder="1" applyProtection="1"/>
    <xf numFmtId="3" fontId="2" fillId="10" borderId="27" xfId="6" applyNumberFormat="1" applyFont="1" applyFill="1" applyBorder="1" applyProtection="1">
      <protection locked="0"/>
    </xf>
    <xf numFmtId="3" fontId="25" fillId="10" borderId="0" xfId="6" applyNumberFormat="1" applyFont="1" applyFill="1" applyProtection="1">
      <protection locked="0"/>
    </xf>
    <xf numFmtId="3" fontId="2" fillId="0" borderId="33" xfId="6" applyNumberFormat="1" applyFont="1" applyBorder="1"/>
    <xf numFmtId="3" fontId="2" fillId="0" borderId="34" xfId="6" applyNumberFormat="1" applyFont="1" applyBorder="1"/>
    <xf numFmtId="3" fontId="4" fillId="0" borderId="31" xfId="6" applyNumberFormat="1" applyBorder="1"/>
    <xf numFmtId="9" fontId="23" fillId="4" borderId="16" xfId="3" applyFont="1" applyFill="1" applyBorder="1" applyAlignment="1" applyProtection="1">
      <alignment wrapText="1"/>
      <protection locked="0"/>
    </xf>
    <xf numFmtId="0" fontId="13" fillId="12" borderId="0" xfId="0" applyFont="1" applyFill="1"/>
    <xf numFmtId="0" fontId="4" fillId="12" borderId="0" xfId="6" applyFill="1"/>
    <xf numFmtId="0" fontId="0" fillId="12" borderId="0" xfId="0" applyFill="1"/>
    <xf numFmtId="0" fontId="13" fillId="12" borderId="14" xfId="0" applyFont="1" applyFill="1" applyBorder="1"/>
    <xf numFmtId="0" fontId="13" fillId="12" borderId="21" xfId="0" applyFont="1" applyFill="1" applyBorder="1"/>
    <xf numFmtId="0" fontId="19" fillId="12" borderId="0" xfId="0" applyFont="1" applyFill="1"/>
    <xf numFmtId="0" fontId="18" fillId="12" borderId="0" xfId="0" applyFont="1" applyFill="1" applyAlignment="1">
      <alignment horizontal="center"/>
    </xf>
    <xf numFmtId="0" fontId="20" fillId="12" borderId="0" xfId="0" applyFont="1" applyFill="1" applyAlignment="1">
      <alignment horizontal="left" vertical="center"/>
    </xf>
    <xf numFmtId="0" fontId="0" fillId="12" borderId="0" xfId="0" applyFill="1" applyAlignment="1">
      <alignment horizontal="center"/>
    </xf>
    <xf numFmtId="0" fontId="18" fillId="12" borderId="20" xfId="0" applyFont="1" applyFill="1" applyBorder="1" applyAlignment="1">
      <alignment horizontal="center"/>
    </xf>
    <xf numFmtId="0" fontId="14" fillId="12" borderId="13" xfId="0" applyFont="1" applyFill="1" applyBorder="1"/>
    <xf numFmtId="0" fontId="8" fillId="12" borderId="5" xfId="6" applyFont="1" applyFill="1" applyBorder="1"/>
    <xf numFmtId="0" fontId="4" fillId="12" borderId="2" xfId="6" applyFill="1" applyBorder="1"/>
    <xf numFmtId="0" fontId="4" fillId="12" borderId="3" xfId="6" applyFill="1" applyBorder="1"/>
    <xf numFmtId="0" fontId="8" fillId="12" borderId="3" xfId="6" applyFont="1" applyFill="1" applyBorder="1"/>
    <xf numFmtId="0" fontId="4" fillId="12" borderId="7" xfId="6" applyFill="1" applyBorder="1"/>
    <xf numFmtId="0" fontId="0" fillId="12" borderId="0" xfId="0" applyFill="1" applyAlignment="1">
      <alignment horizontal="left"/>
    </xf>
    <xf numFmtId="0" fontId="4" fillId="12" borderId="0" xfId="6" applyFill="1" applyAlignment="1">
      <alignment horizontal="left"/>
    </xf>
    <xf numFmtId="0" fontId="17" fillId="12" borderId="0" xfId="6" applyFont="1" applyFill="1"/>
    <xf numFmtId="3" fontId="4" fillId="12" borderId="0" xfId="6" applyNumberFormat="1" applyFill="1" applyProtection="1">
      <protection locked="0"/>
    </xf>
    <xf numFmtId="3" fontId="4" fillId="12" borderId="0" xfId="6" applyNumberFormat="1" applyFill="1"/>
    <xf numFmtId="3" fontId="2" fillId="12" borderId="0" xfId="6" applyNumberFormat="1" applyFont="1" applyFill="1" applyProtection="1">
      <protection locked="0"/>
    </xf>
    <xf numFmtId="3" fontId="4" fillId="12" borderId="9" xfId="6" applyNumberFormat="1" applyFill="1" applyBorder="1"/>
    <xf numFmtId="3" fontId="4" fillId="12" borderId="14" xfId="6" applyNumberFormat="1" applyFill="1" applyBorder="1"/>
    <xf numFmtId="3" fontId="4" fillId="12" borderId="26" xfId="6" applyNumberFormat="1" applyFill="1" applyBorder="1" applyAlignment="1">
      <alignment horizontal="right"/>
    </xf>
    <xf numFmtId="3" fontId="4" fillId="12" borderId="14" xfId="6" applyNumberFormat="1" applyFill="1" applyBorder="1" applyAlignment="1">
      <alignment horizontal="right"/>
    </xf>
    <xf numFmtId="3" fontId="2" fillId="12" borderId="32" xfId="6" applyNumberFormat="1" applyFont="1" applyFill="1" applyBorder="1" applyAlignment="1">
      <alignment horizontal="right"/>
    </xf>
    <xf numFmtId="166" fontId="0" fillId="12" borderId="0" xfId="8" applyNumberFormat="1" applyFont="1" applyFill="1" applyProtection="1"/>
    <xf numFmtId="3" fontId="4" fillId="12" borderId="29" xfId="6" applyNumberFormat="1" applyFill="1" applyBorder="1"/>
    <xf numFmtId="3" fontId="4" fillId="12" borderId="30" xfId="6" applyNumberFormat="1" applyFill="1" applyBorder="1"/>
    <xf numFmtId="170" fontId="26" fillId="12" borderId="0" xfId="4" applyNumberFormat="1" applyFont="1" applyFill="1" applyBorder="1"/>
    <xf numFmtId="0" fontId="0" fillId="12" borderId="0" xfId="7" applyNumberFormat="1" applyFont="1" applyFill="1" applyProtection="1">
      <protection locked="0"/>
    </xf>
    <xf numFmtId="169" fontId="0" fillId="12" borderId="0" xfId="8" applyNumberFormat="1" applyFont="1" applyFill="1" applyProtection="1"/>
    <xf numFmtId="0" fontId="32" fillId="13" borderId="0" xfId="0" applyFont="1" applyFill="1"/>
    <xf numFmtId="172" fontId="9" fillId="4" borderId="6" xfId="2" applyNumberFormat="1" applyFont="1" applyFill="1" applyBorder="1" applyProtection="1">
      <protection locked="0"/>
    </xf>
    <xf numFmtId="0" fontId="29" fillId="12" borderId="12" xfId="0" applyFont="1" applyFill="1" applyBorder="1" applyAlignment="1">
      <alignment vertical="center"/>
    </xf>
    <xf numFmtId="0" fontId="29" fillId="12" borderId="12" xfId="0" applyFont="1" applyFill="1" applyBorder="1" applyAlignment="1">
      <alignment vertical="center" wrapText="1"/>
    </xf>
    <xf numFmtId="0" fontId="33" fillId="2" borderId="35" xfId="0" applyFont="1" applyFill="1" applyBorder="1"/>
    <xf numFmtId="0" fontId="34" fillId="2" borderId="35" xfId="0" applyFont="1" applyFill="1" applyBorder="1" applyAlignment="1">
      <alignment vertical="center"/>
    </xf>
    <xf numFmtId="0" fontId="35" fillId="2" borderId="35" xfId="0" applyFont="1" applyFill="1" applyBorder="1" applyAlignment="1">
      <alignment vertical="center"/>
    </xf>
    <xf numFmtId="0" fontId="35" fillId="2" borderId="0" xfId="0" applyFont="1" applyFill="1" applyAlignment="1">
      <alignment vertical="center"/>
    </xf>
    <xf numFmtId="0" fontId="35" fillId="12" borderId="0" xfId="0" applyFont="1" applyFill="1" applyAlignment="1">
      <alignment vertical="center"/>
    </xf>
    <xf numFmtId="0" fontId="34" fillId="2" borderId="0" xfId="6" applyFont="1" applyFill="1" applyAlignment="1">
      <alignment horizontal="left"/>
    </xf>
    <xf numFmtId="0" fontId="28" fillId="3" borderId="0" xfId="6" applyFont="1" applyFill="1" applyAlignment="1">
      <alignment horizontal="left" vertical="top" wrapText="1"/>
    </xf>
    <xf numFmtId="0" fontId="6" fillId="3" borderId="0" xfId="6" applyFont="1" applyFill="1" applyAlignment="1">
      <alignment horizontal="left" vertical="top" wrapText="1"/>
    </xf>
    <xf numFmtId="171" fontId="11" fillId="5" borderId="0" xfId="2" applyNumberFormat="1" applyFont="1" applyFill="1" applyBorder="1" applyAlignment="1">
      <alignment vertical="center"/>
    </xf>
    <xf numFmtId="0" fontId="21" fillId="6" borderId="3" xfId="5" applyFont="1" applyFill="1" applyBorder="1" applyAlignment="1">
      <alignment horizontal="left"/>
    </xf>
    <xf numFmtId="0" fontId="21" fillId="6" borderId="8" xfId="5" applyFont="1" applyFill="1" applyBorder="1" applyAlignment="1">
      <alignment horizontal="left"/>
    </xf>
    <xf numFmtId="3" fontId="2" fillId="9" borderId="0" xfId="6" applyNumberFormat="1" applyFont="1" applyFill="1" applyAlignment="1" applyProtection="1">
      <alignment horizontal="left" vertical="center" wrapText="1"/>
      <protection locked="0"/>
    </xf>
    <xf numFmtId="0" fontId="6" fillId="3" borderId="0" xfId="0" applyFont="1" applyFill="1" applyAlignment="1">
      <alignment horizontal="left" vertical="top" wrapText="1"/>
    </xf>
    <xf numFmtId="0" fontId="21" fillId="8" borderId="3" xfId="5" applyFont="1" applyFill="1" applyBorder="1" applyAlignment="1">
      <alignment horizontal="left"/>
    </xf>
    <xf numFmtId="0" fontId="21" fillId="8" borderId="8" xfId="5" applyFont="1" applyFill="1" applyBorder="1" applyAlignment="1">
      <alignment horizontal="left"/>
    </xf>
    <xf numFmtId="0" fontId="15" fillId="12" borderId="0" xfId="0" applyFont="1" applyFill="1" applyAlignment="1">
      <alignment horizontal="left" vertical="top"/>
    </xf>
    <xf numFmtId="0" fontId="10" fillId="12" borderId="0" xfId="0" applyFont="1" applyFill="1" applyAlignment="1">
      <alignment horizontal="center" vertical="center"/>
    </xf>
    <xf numFmtId="0" fontId="10" fillId="12" borderId="5" xfId="0" applyFont="1" applyFill="1" applyBorder="1" applyAlignment="1">
      <alignment horizontal="center" vertical="center"/>
    </xf>
    <xf numFmtId="0" fontId="17" fillId="7" borderId="7" xfId="0" applyFont="1" applyFill="1" applyBorder="1" applyAlignment="1">
      <alignment horizontal="left" wrapText="1"/>
    </xf>
    <xf numFmtId="0" fontId="17" fillId="7" borderId="17" xfId="0" applyFont="1" applyFill="1" applyBorder="1" applyAlignment="1">
      <alignment horizontal="left" wrapText="1"/>
    </xf>
    <xf numFmtId="0" fontId="17" fillId="7" borderId="18" xfId="0" applyFont="1" applyFill="1" applyBorder="1" applyAlignment="1">
      <alignment horizontal="left" wrapText="1"/>
    </xf>
    <xf numFmtId="0" fontId="17" fillId="7" borderId="6" xfId="0" applyFont="1" applyFill="1" applyBorder="1" applyAlignment="1">
      <alignment horizontal="left" wrapText="1"/>
    </xf>
    <xf numFmtId="0" fontId="17" fillId="7" borderId="5" xfId="0" applyFont="1" applyFill="1" applyBorder="1" applyAlignment="1">
      <alignment horizontal="left" wrapText="1"/>
    </xf>
    <xf numFmtId="0" fontId="17" fillId="7" borderId="20" xfId="0" applyFont="1" applyFill="1" applyBorder="1" applyAlignment="1">
      <alignment horizontal="left" wrapText="1"/>
    </xf>
    <xf numFmtId="0" fontId="16" fillId="5" borderId="5" xfId="0" applyFont="1" applyFill="1" applyBorder="1" applyAlignment="1">
      <alignment horizontal="left"/>
    </xf>
    <xf numFmtId="0" fontId="36" fillId="2" borderId="0" xfId="0" applyFont="1" applyFill="1" applyAlignment="1">
      <alignment horizontal="left" vertical="center"/>
    </xf>
    <xf numFmtId="166" fontId="11" fillId="5" borderId="0" xfId="1" applyNumberFormat="1" applyFont="1" applyFill="1" applyBorder="1" applyAlignment="1">
      <alignment horizontal="center"/>
    </xf>
    <xf numFmtId="167" fontId="11" fillId="5" borderId="0" xfId="2" applyNumberFormat="1" applyFont="1" applyFill="1" applyBorder="1" applyAlignment="1">
      <alignment horizontal="center"/>
    </xf>
  </cellXfs>
  <cellStyles count="9">
    <cellStyle name="Comma" xfId="1" builtinId="3"/>
    <cellStyle name="Comma 2" xfId="8" xr:uid="{033ADBCF-C2BF-4C2C-9125-44044B3DABF2}"/>
    <cellStyle name="Currency" xfId="2" builtinId="4"/>
    <cellStyle name="Hyperlink" xfId="5" builtinId="8"/>
    <cellStyle name="Normal" xfId="0" builtinId="0"/>
    <cellStyle name="Normal 2" xfId="6" xr:uid="{081D9CB3-08EF-4DCB-A5B4-76836066D071}"/>
    <cellStyle name="Percent" xfId="3" builtinId="5"/>
    <cellStyle name="Percent 2" xfId="7" xr:uid="{3C343088-E9FD-4D33-8FB6-8C86CF89695C}"/>
    <cellStyle name="Total" xfId="4"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501E-3C34-420E-B431-C4653C06A9DA}">
  <sheetPr codeName="Sheet1"/>
  <dimension ref="B2:N21"/>
  <sheetViews>
    <sheetView zoomScale="125" workbookViewId="0">
      <selection activeCell="J24" sqref="J24"/>
    </sheetView>
  </sheetViews>
  <sheetFormatPr defaultColWidth="9.1796875" defaultRowHeight="14.5" x14ac:dyDescent="0.35"/>
  <cols>
    <col min="1" max="1" width="9.1796875" style="51"/>
    <col min="2" max="2" width="65.6328125" style="51" customWidth="1"/>
    <col min="3" max="3" width="6.6328125" style="52" customWidth="1"/>
    <col min="4" max="4" width="2.6328125" style="52" customWidth="1"/>
    <col min="5" max="5" width="24.6328125" style="51" customWidth="1"/>
    <col min="6" max="7" width="12.6328125" style="51" customWidth="1"/>
    <col min="8" max="8" width="22.1796875" style="51" customWidth="1"/>
    <col min="9" max="9" width="2.1796875" style="51" customWidth="1"/>
    <col min="10" max="10" width="33.36328125" style="51" bestFit="1" customWidth="1"/>
    <col min="11" max="11" width="2.6328125" style="51" customWidth="1"/>
    <col min="12" max="12" width="18.6328125" style="51" customWidth="1"/>
    <col min="13" max="16" width="22.453125" style="51" customWidth="1"/>
    <col min="17" max="19" width="18.6328125" style="51" customWidth="1"/>
    <col min="20" max="16384" width="9.1796875" style="51"/>
  </cols>
  <sheetData>
    <row r="2" spans="2:14" ht="35" customHeight="1" x14ac:dyDescent="1.1000000000000001">
      <c r="B2" s="92" t="s">
        <v>70</v>
      </c>
      <c r="C2" s="92"/>
      <c r="D2" s="92"/>
      <c r="E2" s="92"/>
      <c r="F2" s="92"/>
      <c r="G2" s="92"/>
      <c r="H2" s="92"/>
      <c r="I2" s="92"/>
      <c r="J2" s="92"/>
    </row>
    <row r="3" spans="2:14" ht="7.5" customHeight="1" x14ac:dyDescent="0.35">
      <c r="C3" s="51"/>
      <c r="D3" s="51"/>
    </row>
    <row r="4" spans="2:14" ht="9" customHeight="1" x14ac:dyDescent="0.35">
      <c r="C4" s="51"/>
      <c r="D4" s="51"/>
      <c r="J4" s="62"/>
    </row>
    <row r="5" spans="2:14" ht="31" x14ac:dyDescent="0.7">
      <c r="B5" s="93" t="s">
        <v>1</v>
      </c>
      <c r="D5" s="63"/>
      <c r="E5" s="64" t="s">
        <v>2</v>
      </c>
      <c r="F5" s="64"/>
      <c r="G5" s="64"/>
      <c r="H5" s="64"/>
      <c r="I5" s="64"/>
      <c r="J5" s="2">
        <v>10000</v>
      </c>
    </row>
    <row r="6" spans="2:14" ht="31" x14ac:dyDescent="0.7">
      <c r="B6" s="94"/>
      <c r="D6" s="63"/>
      <c r="E6" s="64" t="s">
        <v>3</v>
      </c>
      <c r="F6" s="64"/>
      <c r="G6" s="64"/>
      <c r="H6" s="64"/>
      <c r="I6" s="61"/>
      <c r="J6" s="84">
        <v>35000</v>
      </c>
    </row>
    <row r="7" spans="2:14" ht="31" x14ac:dyDescent="0.7">
      <c r="B7" s="94"/>
      <c r="D7" s="63"/>
      <c r="E7" s="64" t="s">
        <v>4</v>
      </c>
      <c r="F7" s="64"/>
      <c r="G7" s="64"/>
      <c r="H7" s="64"/>
      <c r="I7" s="64"/>
      <c r="J7" s="3">
        <v>1</v>
      </c>
    </row>
    <row r="8" spans="2:14" ht="31" x14ac:dyDescent="0.7">
      <c r="B8" s="94"/>
      <c r="D8" s="63"/>
      <c r="E8" s="64" t="s">
        <v>5</v>
      </c>
      <c r="F8" s="64"/>
      <c r="G8" s="64"/>
      <c r="H8" s="64"/>
      <c r="I8" s="64"/>
      <c r="J8" s="4">
        <v>0.15</v>
      </c>
    </row>
    <row r="9" spans="2:14" ht="7.5" customHeight="1" x14ac:dyDescent="0.35">
      <c r="B9" s="94"/>
      <c r="J9" s="65"/>
    </row>
    <row r="10" spans="2:14" ht="14.25" customHeight="1" x14ac:dyDescent="0.35">
      <c r="B10" s="94"/>
    </row>
    <row r="11" spans="2:14" ht="36" x14ac:dyDescent="0.35">
      <c r="B11" s="94"/>
      <c r="E11" s="5" t="s">
        <v>0</v>
      </c>
      <c r="F11" s="6">
        <f ca="1">YEAR(TODAY())</f>
        <v>2025</v>
      </c>
      <c r="H11" s="95">
        <f>J5*J6*J7</f>
        <v>350000000</v>
      </c>
      <c r="I11" s="95"/>
      <c r="J11" s="95"/>
    </row>
    <row r="12" spans="2:14" x14ac:dyDescent="0.35">
      <c r="B12" s="94"/>
      <c r="N12" s="51" t="s">
        <v>6</v>
      </c>
    </row>
    <row r="13" spans="2:14" ht="36" x14ac:dyDescent="0.35">
      <c r="B13" s="94"/>
      <c r="E13" s="5" t="s">
        <v>7</v>
      </c>
      <c r="F13" s="6">
        <f ca="1">YEAR(TODAY())</f>
        <v>2025</v>
      </c>
      <c r="H13" s="95">
        <f>H11*J8</f>
        <v>52500000</v>
      </c>
      <c r="I13" s="95"/>
      <c r="J13" s="95"/>
    </row>
    <row r="14" spans="2:14" x14ac:dyDescent="0.35">
      <c r="B14" s="94"/>
    </row>
    <row r="15" spans="2:14" ht="18.5" x14ac:dyDescent="0.45">
      <c r="B15" s="94"/>
      <c r="E15" s="51" t="s">
        <v>6</v>
      </c>
      <c r="G15" s="7" t="s">
        <v>8</v>
      </c>
      <c r="H15" s="96" t="s">
        <v>9</v>
      </c>
      <c r="I15" s="96"/>
      <c r="J15" s="97"/>
    </row>
    <row r="16" spans="2:14" ht="15.75" customHeight="1" x14ac:dyDescent="0.35">
      <c r="E16" s="52"/>
      <c r="F16" s="52"/>
      <c r="H16" s="52"/>
      <c r="I16" s="52"/>
      <c r="J16" s="52"/>
      <c r="K16" s="52"/>
      <c r="L16" s="52"/>
    </row>
    <row r="21" spans="7:7" x14ac:dyDescent="0.35">
      <c r="G21" s="70"/>
    </row>
  </sheetData>
  <mergeCells count="5">
    <mergeCell ref="B2:J2"/>
    <mergeCell ref="B5:B15"/>
    <mergeCell ref="H11:J11"/>
    <mergeCell ref="H13:J13"/>
    <mergeCell ref="H15:J15"/>
  </mergeCells>
  <hyperlinks>
    <hyperlink ref="H15:J15" location="'Driving Forces brainstorm'!A1" display="Driving Forces Brainstorm" xr:uid="{7AE34F83-C46F-4647-BBA2-516664A1A77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0120-7BDC-420D-8E21-A9465018B1D9}">
  <sheetPr codeName="Sheet10">
    <tabColor theme="1"/>
  </sheetPr>
  <dimension ref="B1:AD27"/>
  <sheetViews>
    <sheetView zoomScale="85" zoomScaleNormal="85" workbookViewId="0">
      <selection activeCell="G42" sqref="G42"/>
    </sheetView>
  </sheetViews>
  <sheetFormatPr defaultColWidth="9.1796875" defaultRowHeight="14.5" x14ac:dyDescent="0.35"/>
  <cols>
    <col min="1" max="1" width="3.453125" style="69" customWidth="1"/>
    <col min="2" max="4" width="9.1796875" style="69"/>
    <col min="5" max="5" width="11.36328125" style="69" bestFit="1" customWidth="1"/>
    <col min="6" max="6" width="4.81640625" style="69" customWidth="1"/>
    <col min="7" max="7" width="26.453125" style="69" bestFit="1" customWidth="1"/>
    <col min="8" max="9" width="12.453125" style="69" bestFit="1" customWidth="1"/>
    <col min="10" max="10" width="11.453125" style="69" customWidth="1"/>
    <col min="11" max="11" width="11.1796875" style="69" customWidth="1"/>
    <col min="12" max="12" width="11.453125" style="69" customWidth="1"/>
    <col min="13" max="16" width="9.453125" style="69" bestFit="1" customWidth="1"/>
    <col min="17" max="17" width="10.453125" style="69" bestFit="1" customWidth="1"/>
    <col min="18" max="18" width="0" style="69" hidden="1" customWidth="1"/>
    <col min="19" max="19" width="7.453125" style="69" customWidth="1"/>
    <col min="20" max="20" width="2" style="71" bestFit="1" customWidth="1"/>
    <col min="21" max="16384" width="9.1796875" style="69"/>
  </cols>
  <sheetData>
    <row r="1" spans="2:30" ht="23.5" x14ac:dyDescent="0.55000000000000004">
      <c r="B1" s="83" t="s">
        <v>10</v>
      </c>
      <c r="C1" s="70"/>
      <c r="D1" s="70"/>
      <c r="E1" s="70"/>
      <c r="F1" s="70"/>
      <c r="G1" s="70"/>
      <c r="H1" s="70"/>
      <c r="I1" s="70"/>
      <c r="J1" s="70"/>
      <c r="K1" s="70"/>
      <c r="L1" s="70"/>
      <c r="M1" s="70"/>
      <c r="N1" s="70"/>
      <c r="O1" s="70"/>
      <c r="P1" s="70"/>
      <c r="Q1" s="70"/>
    </row>
    <row r="2" spans="2:30" ht="33.5" x14ac:dyDescent="0.75">
      <c r="B2" s="22" t="s">
        <v>11</v>
      </c>
      <c r="C2" s="22"/>
      <c r="D2" s="22"/>
      <c r="E2" s="22"/>
      <c r="F2" s="22"/>
      <c r="G2" s="22"/>
      <c r="H2" s="22"/>
      <c r="I2" s="22"/>
      <c r="J2" s="22"/>
      <c r="K2" s="22"/>
      <c r="L2" s="22"/>
      <c r="M2" s="22"/>
      <c r="N2" s="22"/>
      <c r="O2" s="22"/>
      <c r="P2" s="22"/>
      <c r="Q2" s="22"/>
      <c r="R2" s="21"/>
    </row>
    <row r="3" spans="2:30" ht="15" thickBot="1" x14ac:dyDescent="0.4">
      <c r="B3" s="70"/>
      <c r="C3" s="70"/>
      <c r="D3" s="70"/>
      <c r="E3" s="70"/>
      <c r="F3" s="70"/>
      <c r="G3" s="70"/>
      <c r="H3" s="70"/>
      <c r="I3" s="70"/>
      <c r="J3" s="70"/>
      <c r="K3" s="70"/>
      <c r="L3" s="70"/>
      <c r="M3" s="70"/>
      <c r="N3" s="70"/>
      <c r="O3" s="70"/>
      <c r="P3" s="70"/>
      <c r="Q3" s="70"/>
    </row>
    <row r="4" spans="2:30" x14ac:dyDescent="0.35">
      <c r="B4" s="23" t="s">
        <v>12</v>
      </c>
      <c r="C4" s="24"/>
      <c r="D4" s="24"/>
      <c r="E4" s="25"/>
      <c r="F4" s="70"/>
      <c r="G4" s="72"/>
      <c r="H4" s="26" t="s">
        <v>13</v>
      </c>
      <c r="I4" s="26" t="s">
        <v>14</v>
      </c>
      <c r="J4" s="26" t="s">
        <v>15</v>
      </c>
      <c r="K4" s="26" t="s">
        <v>16</v>
      </c>
      <c r="L4" s="26" t="s">
        <v>17</v>
      </c>
      <c r="M4" s="26" t="s">
        <v>18</v>
      </c>
      <c r="N4" s="26" t="s">
        <v>19</v>
      </c>
      <c r="O4" s="26" t="s">
        <v>20</v>
      </c>
      <c r="P4" s="26" t="s">
        <v>21</v>
      </c>
      <c r="Q4" s="27" t="s">
        <v>22</v>
      </c>
      <c r="R4" s="21"/>
      <c r="T4" s="98" t="s">
        <v>23</v>
      </c>
      <c r="U4" s="98"/>
      <c r="V4" s="98"/>
      <c r="W4" s="98"/>
      <c r="X4" s="98"/>
      <c r="Y4" s="98"/>
      <c r="Z4" s="98"/>
      <c r="AA4" s="98"/>
      <c r="AB4" s="98"/>
      <c r="AC4" s="98"/>
      <c r="AD4" s="98"/>
    </row>
    <row r="5" spans="2:30" x14ac:dyDescent="0.35">
      <c r="B5" s="73"/>
      <c r="C5" s="70"/>
      <c r="D5" s="70"/>
      <c r="E5" s="29"/>
      <c r="F5" s="70"/>
      <c r="G5" s="73"/>
      <c r="H5" s="20"/>
      <c r="I5" s="20"/>
      <c r="J5" s="20"/>
      <c r="K5" s="20"/>
      <c r="L5" s="20"/>
      <c r="M5" s="20"/>
      <c r="N5" s="20"/>
      <c r="O5" s="20"/>
      <c r="P5" s="20"/>
      <c r="Q5" s="29"/>
      <c r="R5" s="21"/>
      <c r="T5" s="98"/>
      <c r="U5" s="98"/>
      <c r="V5" s="98"/>
      <c r="W5" s="98"/>
      <c r="X5" s="98"/>
      <c r="Y5" s="98"/>
      <c r="Z5" s="98"/>
      <c r="AA5" s="98"/>
      <c r="AB5" s="98"/>
      <c r="AC5" s="98"/>
      <c r="AD5" s="98"/>
    </row>
    <row r="6" spans="2:30" x14ac:dyDescent="0.35">
      <c r="B6" s="73" t="s">
        <v>24</v>
      </c>
      <c r="C6" s="70"/>
      <c r="D6" s="70"/>
      <c r="E6" s="30">
        <v>5</v>
      </c>
      <c r="F6" s="70"/>
      <c r="G6" s="74" t="s">
        <v>25</v>
      </c>
      <c r="H6" s="31"/>
      <c r="I6" s="31"/>
      <c r="J6" s="31"/>
      <c r="K6" s="31"/>
      <c r="L6" s="31"/>
      <c r="M6" s="31"/>
      <c r="N6" s="31"/>
      <c r="O6" s="31"/>
      <c r="P6" s="31"/>
      <c r="Q6" s="32"/>
      <c r="R6" s="21"/>
      <c r="T6" s="98"/>
      <c r="U6" s="98"/>
      <c r="V6" s="98"/>
      <c r="W6" s="98"/>
      <c r="X6" s="98"/>
      <c r="Y6" s="98"/>
      <c r="Z6" s="98"/>
      <c r="AA6" s="98"/>
      <c r="AB6" s="98"/>
      <c r="AC6" s="98"/>
      <c r="AD6" s="98"/>
    </row>
    <row r="7" spans="2:30" ht="15" thickBot="1" x14ac:dyDescent="0.4">
      <c r="B7" s="78" t="s">
        <v>26</v>
      </c>
      <c r="C7" s="79"/>
      <c r="D7" s="79"/>
      <c r="E7" s="33">
        <v>1</v>
      </c>
      <c r="F7" s="70"/>
      <c r="G7" s="75"/>
      <c r="H7" s="20"/>
      <c r="I7" s="20"/>
      <c r="J7" s="20"/>
      <c r="K7" s="20"/>
      <c r="L7" s="20"/>
      <c r="M7" s="20"/>
      <c r="N7" s="20"/>
      <c r="O7" s="20"/>
      <c r="P7" s="20"/>
      <c r="Q7" s="29"/>
      <c r="R7" s="21"/>
    </row>
    <row r="8" spans="2:30" ht="15" thickBot="1" x14ac:dyDescent="0.4">
      <c r="B8" s="70"/>
      <c r="C8" s="70"/>
      <c r="D8" s="70"/>
      <c r="E8" s="70"/>
      <c r="F8" s="70"/>
      <c r="G8" s="75" t="s">
        <v>27</v>
      </c>
      <c r="H8" s="34"/>
      <c r="I8" s="34"/>
      <c r="J8" s="34"/>
      <c r="K8" s="34"/>
      <c r="L8" s="34"/>
      <c r="M8" s="34"/>
      <c r="N8" s="34"/>
      <c r="O8" s="34"/>
      <c r="P8" s="34"/>
      <c r="Q8" s="35"/>
      <c r="R8" s="21"/>
      <c r="T8" s="36">
        <v>1</v>
      </c>
      <c r="U8" s="37" t="s">
        <v>28</v>
      </c>
      <c r="V8" s="37"/>
      <c r="W8" s="37"/>
      <c r="X8" s="37"/>
      <c r="Y8" s="37"/>
      <c r="Z8" s="37"/>
      <c r="AA8" s="37"/>
      <c r="AB8" s="37"/>
      <c r="AC8" s="37"/>
      <c r="AD8" s="37"/>
    </row>
    <row r="9" spans="2:30" x14ac:dyDescent="0.35">
      <c r="B9" s="23" t="s">
        <v>29</v>
      </c>
      <c r="C9" s="24"/>
      <c r="D9" s="24"/>
      <c r="E9" s="25"/>
      <c r="F9" s="70"/>
      <c r="G9" s="75" t="s">
        <v>30</v>
      </c>
      <c r="H9" s="20">
        <f>H6*H8*$E$6</f>
        <v>0</v>
      </c>
      <c r="I9" s="20">
        <f t="shared" ref="I9:Q9" si="0">I6*I8*$E$6</f>
        <v>0</v>
      </c>
      <c r="J9" s="20">
        <f t="shared" si="0"/>
        <v>0</v>
      </c>
      <c r="K9" s="20">
        <f>K6*K8*$E$6</f>
        <v>0</v>
      </c>
      <c r="L9" s="20">
        <f t="shared" si="0"/>
        <v>0</v>
      </c>
      <c r="M9" s="20">
        <f t="shared" si="0"/>
        <v>0</v>
      </c>
      <c r="N9" s="20">
        <f t="shared" si="0"/>
        <v>0</v>
      </c>
      <c r="O9" s="20">
        <f t="shared" si="0"/>
        <v>0</v>
      </c>
      <c r="P9" s="20">
        <f t="shared" si="0"/>
        <v>0</v>
      </c>
      <c r="Q9" s="29">
        <f t="shared" si="0"/>
        <v>0</v>
      </c>
      <c r="R9" s="21">
        <f>AVERAGE(H9:Q9)</f>
        <v>0</v>
      </c>
      <c r="T9" s="36">
        <v>2</v>
      </c>
      <c r="U9" s="37" t="s">
        <v>31</v>
      </c>
      <c r="V9" s="37"/>
      <c r="W9" s="37"/>
      <c r="X9" s="37"/>
      <c r="Y9" s="37"/>
      <c r="Z9" s="37"/>
      <c r="AA9" s="37"/>
      <c r="AB9" s="37"/>
      <c r="AC9" s="37"/>
      <c r="AD9" s="37"/>
    </row>
    <row r="10" spans="2:30" hidden="1" x14ac:dyDescent="0.35">
      <c r="B10" s="28"/>
      <c r="C10" s="20"/>
      <c r="D10" s="20"/>
      <c r="E10" s="29"/>
      <c r="F10" s="70"/>
      <c r="G10" s="75" t="s">
        <v>32</v>
      </c>
      <c r="H10" s="38" t="e">
        <f t="shared" ref="H10:Q10" si="1">(H9*100%)/$R$9</f>
        <v>#DIV/0!</v>
      </c>
      <c r="I10" s="38" t="e">
        <f t="shared" si="1"/>
        <v>#DIV/0!</v>
      </c>
      <c r="J10" s="38" t="e">
        <f t="shared" si="1"/>
        <v>#DIV/0!</v>
      </c>
      <c r="K10" s="38" t="e">
        <f t="shared" si="1"/>
        <v>#DIV/0!</v>
      </c>
      <c r="L10" s="38" t="e">
        <f t="shared" si="1"/>
        <v>#DIV/0!</v>
      </c>
      <c r="M10" s="38" t="e">
        <f t="shared" si="1"/>
        <v>#DIV/0!</v>
      </c>
      <c r="N10" s="38" t="e">
        <f t="shared" si="1"/>
        <v>#DIV/0!</v>
      </c>
      <c r="O10" s="38" t="e">
        <f t="shared" si="1"/>
        <v>#DIV/0!</v>
      </c>
      <c r="P10" s="38" t="e">
        <f t="shared" si="1"/>
        <v>#DIV/0!</v>
      </c>
      <c r="Q10" s="39" t="e">
        <f t="shared" si="1"/>
        <v>#DIV/0!</v>
      </c>
      <c r="R10" s="21"/>
      <c r="T10" s="36"/>
      <c r="U10" s="37"/>
      <c r="V10" s="37"/>
      <c r="W10" s="37"/>
      <c r="X10" s="37"/>
      <c r="Y10" s="37"/>
      <c r="Z10" s="37"/>
      <c r="AA10" s="37"/>
      <c r="AB10" s="37"/>
      <c r="AC10" s="37"/>
      <c r="AD10" s="37"/>
    </row>
    <row r="11" spans="2:30" x14ac:dyDescent="0.35">
      <c r="B11" s="73" t="s">
        <v>33</v>
      </c>
      <c r="C11" s="70"/>
      <c r="D11" s="70"/>
      <c r="E11" s="40">
        <v>1.5</v>
      </c>
      <c r="F11" s="70"/>
      <c r="G11" s="74" t="s">
        <v>34</v>
      </c>
      <c r="H11" s="41" t="str">
        <f t="shared" ref="H11:Q11" si="2">IFERROR(IF(H10&lt;$E$16,"-3",IF(H10&lt;$E$14,"-2",IF(AND(H10&gt;=$E$14,H10&lt;=$E$13),"-1",IF(H10=$E$13,0,IF(AND(H10&gt;$E$13,H10&lt;$E$12),1,IF(AND(H10&gt;$E$12,H10&lt;$E$11),2,IF(H10&gt;$E$11,"3"))))))),"")</f>
        <v/>
      </c>
      <c r="I11" s="41" t="str">
        <f t="shared" si="2"/>
        <v/>
      </c>
      <c r="J11" s="41" t="str">
        <f t="shared" si="2"/>
        <v/>
      </c>
      <c r="K11" s="41" t="str">
        <f t="shared" si="2"/>
        <v/>
      </c>
      <c r="L11" s="41" t="str">
        <f t="shared" si="2"/>
        <v/>
      </c>
      <c r="M11" s="41" t="str">
        <f t="shared" si="2"/>
        <v/>
      </c>
      <c r="N11" s="41" t="str">
        <f t="shared" si="2"/>
        <v/>
      </c>
      <c r="O11" s="41" t="str">
        <f t="shared" si="2"/>
        <v/>
      </c>
      <c r="P11" s="41" t="str">
        <f t="shared" si="2"/>
        <v/>
      </c>
      <c r="Q11" s="42" t="str">
        <f t="shared" si="2"/>
        <v/>
      </c>
      <c r="R11" s="21"/>
      <c r="T11" s="36">
        <v>3</v>
      </c>
      <c r="U11" s="37" t="s">
        <v>35</v>
      </c>
      <c r="V11" s="37"/>
      <c r="W11" s="37"/>
      <c r="X11" s="37"/>
      <c r="Y11" s="37"/>
      <c r="Z11" s="37"/>
      <c r="AA11" s="37"/>
      <c r="AB11" s="37"/>
      <c r="AC11" s="37"/>
      <c r="AD11" s="37"/>
    </row>
    <row r="12" spans="2:30" x14ac:dyDescent="0.35">
      <c r="B12" s="73" t="s">
        <v>36</v>
      </c>
      <c r="C12" s="70"/>
      <c r="D12" s="70"/>
      <c r="E12" s="40">
        <v>1.25</v>
      </c>
      <c r="F12" s="70"/>
      <c r="G12" s="73"/>
      <c r="H12" s="20"/>
      <c r="I12" s="20"/>
      <c r="J12" s="20"/>
      <c r="K12" s="20"/>
      <c r="L12" s="20"/>
      <c r="M12" s="20"/>
      <c r="N12" s="20"/>
      <c r="O12" s="20"/>
      <c r="P12" s="20"/>
      <c r="Q12" s="29"/>
      <c r="R12" s="21"/>
      <c r="T12" s="36">
        <v>4</v>
      </c>
      <c r="U12" s="37" t="s">
        <v>37</v>
      </c>
      <c r="V12" s="37"/>
      <c r="W12" s="37"/>
      <c r="X12" s="37"/>
      <c r="Y12" s="37"/>
      <c r="Z12" s="37"/>
      <c r="AA12" s="37"/>
      <c r="AB12" s="37"/>
      <c r="AC12" s="37"/>
      <c r="AD12" s="37"/>
    </row>
    <row r="13" spans="2:30" x14ac:dyDescent="0.35">
      <c r="B13" s="73" t="s">
        <v>38</v>
      </c>
      <c r="C13" s="70"/>
      <c r="D13" s="70"/>
      <c r="E13" s="40">
        <v>1</v>
      </c>
      <c r="F13" s="70"/>
      <c r="G13" s="75" t="s">
        <v>39</v>
      </c>
      <c r="H13" s="34">
        <v>1</v>
      </c>
      <c r="I13" s="34">
        <v>1</v>
      </c>
      <c r="J13" s="34">
        <v>1</v>
      </c>
      <c r="K13" s="34">
        <v>1</v>
      </c>
      <c r="L13" s="34">
        <v>1</v>
      </c>
      <c r="M13" s="34">
        <v>0</v>
      </c>
      <c r="N13" s="34">
        <v>0</v>
      </c>
      <c r="O13" s="34">
        <v>0</v>
      </c>
      <c r="P13" s="34">
        <v>0</v>
      </c>
      <c r="Q13" s="35">
        <v>0</v>
      </c>
      <c r="R13" s="21"/>
      <c r="T13" s="36">
        <v>5</v>
      </c>
      <c r="U13" s="37" t="s">
        <v>40</v>
      </c>
      <c r="V13" s="37"/>
      <c r="W13" s="37"/>
      <c r="X13" s="37"/>
      <c r="Y13" s="37"/>
      <c r="Z13" s="37"/>
      <c r="AA13" s="37"/>
      <c r="AB13" s="37"/>
      <c r="AC13" s="37"/>
      <c r="AD13" s="37"/>
    </row>
    <row r="14" spans="2:30" x14ac:dyDescent="0.35">
      <c r="B14" s="73" t="s">
        <v>41</v>
      </c>
      <c r="C14" s="70"/>
      <c r="D14" s="70"/>
      <c r="E14" s="40">
        <v>0.75</v>
      </c>
      <c r="F14" s="70"/>
      <c r="G14" s="75" t="s">
        <v>42</v>
      </c>
      <c r="H14" s="20">
        <f>$E$7*H6*H13</f>
        <v>0</v>
      </c>
      <c r="I14" s="20">
        <f t="shared" ref="I14:Q14" si="3">$E$7*I6*I13</f>
        <v>0</v>
      </c>
      <c r="J14" s="20">
        <f t="shared" si="3"/>
        <v>0</v>
      </c>
      <c r="K14" s="20">
        <f t="shared" si="3"/>
        <v>0</v>
      </c>
      <c r="L14" s="20">
        <f t="shared" si="3"/>
        <v>0</v>
      </c>
      <c r="M14" s="20">
        <f t="shared" si="3"/>
        <v>0</v>
      </c>
      <c r="N14" s="20">
        <f t="shared" si="3"/>
        <v>0</v>
      </c>
      <c r="O14" s="20">
        <f t="shared" si="3"/>
        <v>0</v>
      </c>
      <c r="P14" s="20">
        <f t="shared" si="3"/>
        <v>0</v>
      </c>
      <c r="Q14" s="29">
        <f t="shared" si="3"/>
        <v>0</v>
      </c>
      <c r="R14" s="21">
        <f>AVERAGE(H14:Q14)</f>
        <v>0</v>
      </c>
      <c r="T14" s="36"/>
      <c r="U14" s="37"/>
      <c r="V14" s="37"/>
      <c r="W14" s="37"/>
      <c r="X14" s="37"/>
      <c r="Y14" s="37"/>
      <c r="Z14" s="37"/>
      <c r="AA14" s="37"/>
      <c r="AB14" s="37"/>
      <c r="AC14" s="37"/>
      <c r="AD14" s="37"/>
    </row>
    <row r="15" spans="2:30" hidden="1" x14ac:dyDescent="0.35">
      <c r="B15" s="73"/>
      <c r="C15" s="70"/>
      <c r="D15" s="70"/>
      <c r="E15" s="40"/>
      <c r="F15" s="70"/>
      <c r="G15" s="75" t="s">
        <v>32</v>
      </c>
      <c r="H15" s="38" t="e">
        <f t="shared" ref="H15:Q15" si="4">(H14*100%)/$R$14</f>
        <v>#DIV/0!</v>
      </c>
      <c r="I15" s="38" t="e">
        <f t="shared" si="4"/>
        <v>#DIV/0!</v>
      </c>
      <c r="J15" s="38" t="e">
        <f t="shared" si="4"/>
        <v>#DIV/0!</v>
      </c>
      <c r="K15" s="38" t="e">
        <f t="shared" si="4"/>
        <v>#DIV/0!</v>
      </c>
      <c r="L15" s="38" t="e">
        <f t="shared" si="4"/>
        <v>#DIV/0!</v>
      </c>
      <c r="M15" s="38" t="e">
        <f t="shared" si="4"/>
        <v>#DIV/0!</v>
      </c>
      <c r="N15" s="38" t="e">
        <f t="shared" si="4"/>
        <v>#DIV/0!</v>
      </c>
      <c r="O15" s="38" t="e">
        <f t="shared" si="4"/>
        <v>#DIV/0!</v>
      </c>
      <c r="P15" s="38" t="e">
        <f t="shared" si="4"/>
        <v>#DIV/0!</v>
      </c>
      <c r="Q15" s="39" t="e">
        <f t="shared" si="4"/>
        <v>#DIV/0!</v>
      </c>
      <c r="R15" s="21"/>
      <c r="T15" s="36"/>
      <c r="U15" s="37" t="s">
        <v>43</v>
      </c>
      <c r="V15" s="37"/>
      <c r="W15" s="37"/>
      <c r="X15" s="37"/>
      <c r="Y15" s="37"/>
      <c r="Z15" s="37"/>
      <c r="AA15" s="37"/>
      <c r="AB15" s="37"/>
      <c r="AC15" s="37"/>
      <c r="AD15" s="37"/>
    </row>
    <row r="16" spans="2:30" ht="15" thickBot="1" x14ac:dyDescent="0.4">
      <c r="B16" s="78" t="s">
        <v>44</v>
      </c>
      <c r="C16" s="79"/>
      <c r="D16" s="79"/>
      <c r="E16" s="43">
        <v>0.5</v>
      </c>
      <c r="F16" s="70"/>
      <c r="G16" s="74" t="s">
        <v>45</v>
      </c>
      <c r="H16" s="41" t="str">
        <f t="shared" ref="H16:Q16" si="5">IFERROR(IF(H15&lt;$E$16,"-3",IF(H15&lt;$E$14,"-2",IF(AND(H15&gt;=$E$14,H15&lt;=$E$13),"-1",IF(H15=$E$13,0,IF(AND(H15&gt;$E$13,H15&lt;$E$12),1,IF(AND(H15&gt;$E$12,H15&lt;$E$11),2,IF(H15&gt;$E$11,"3"))))))),"")</f>
        <v/>
      </c>
      <c r="I16" s="41" t="str">
        <f t="shared" si="5"/>
        <v/>
      </c>
      <c r="J16" s="41" t="str">
        <f t="shared" si="5"/>
        <v/>
      </c>
      <c r="K16" s="41" t="str">
        <f t="shared" si="5"/>
        <v/>
      </c>
      <c r="L16" s="41" t="str">
        <f t="shared" si="5"/>
        <v/>
      </c>
      <c r="M16" s="41" t="str">
        <f t="shared" si="5"/>
        <v/>
      </c>
      <c r="N16" s="41" t="str">
        <f t="shared" si="5"/>
        <v/>
      </c>
      <c r="O16" s="41" t="str">
        <f t="shared" si="5"/>
        <v/>
      </c>
      <c r="P16" s="41" t="str">
        <f t="shared" si="5"/>
        <v/>
      </c>
      <c r="Q16" s="42" t="str">
        <f t="shared" si="5"/>
        <v/>
      </c>
      <c r="R16" s="21"/>
      <c r="T16" s="36"/>
      <c r="U16" s="44" t="s">
        <v>46</v>
      </c>
      <c r="V16" s="44"/>
      <c r="W16" s="44"/>
      <c r="X16" s="44"/>
      <c r="Y16" s="44"/>
      <c r="Z16" s="44"/>
      <c r="AA16" s="44"/>
      <c r="AB16" s="44"/>
      <c r="AC16" s="44"/>
      <c r="AD16" s="44"/>
    </row>
    <row r="17" spans="2:30" ht="15" thickBot="1" x14ac:dyDescent="0.4">
      <c r="B17" s="70"/>
      <c r="C17" s="70"/>
      <c r="D17" s="70"/>
      <c r="E17" s="70"/>
      <c r="F17" s="70"/>
      <c r="G17" s="73"/>
      <c r="H17" s="20"/>
      <c r="I17" s="20"/>
      <c r="J17" s="20"/>
      <c r="K17" s="20"/>
      <c r="L17" s="20"/>
      <c r="M17" s="20"/>
      <c r="N17" s="20"/>
      <c r="O17" s="20"/>
      <c r="P17" s="20"/>
      <c r="Q17" s="29"/>
      <c r="R17" s="21"/>
      <c r="T17" s="36"/>
      <c r="U17" s="37"/>
      <c r="V17" s="37"/>
      <c r="W17" s="37"/>
      <c r="X17" s="37"/>
      <c r="Y17" s="37"/>
      <c r="Z17" s="37"/>
      <c r="AA17" s="37"/>
      <c r="AB17" s="37"/>
      <c r="AC17" s="37"/>
      <c r="AD17" s="37"/>
    </row>
    <row r="18" spans="2:30" x14ac:dyDescent="0.35">
      <c r="B18" s="23" t="s">
        <v>47</v>
      </c>
      <c r="C18" s="24"/>
      <c r="D18" s="24"/>
      <c r="E18" s="25"/>
      <c r="F18" s="70"/>
      <c r="G18" s="74" t="s">
        <v>48</v>
      </c>
      <c r="H18" s="31"/>
      <c r="I18" s="31"/>
      <c r="J18" s="31"/>
      <c r="K18" s="31"/>
      <c r="L18" s="31"/>
      <c r="M18" s="31"/>
      <c r="N18" s="31"/>
      <c r="O18" s="31"/>
      <c r="P18" s="31"/>
      <c r="Q18" s="32"/>
      <c r="R18" s="21"/>
      <c r="T18" s="36"/>
      <c r="U18" s="45" t="s">
        <v>49</v>
      </c>
      <c r="V18" s="45"/>
      <c r="W18" s="45"/>
      <c r="X18" s="37"/>
      <c r="Y18" s="37"/>
      <c r="Z18" s="37"/>
      <c r="AA18" s="37"/>
      <c r="AB18" s="37"/>
      <c r="AC18" s="37"/>
      <c r="AD18" s="37"/>
    </row>
    <row r="19" spans="2:30" x14ac:dyDescent="0.35">
      <c r="B19" s="73" t="s">
        <v>50</v>
      </c>
      <c r="C19" s="70"/>
      <c r="D19" s="70"/>
      <c r="E19" s="29">
        <v>3</v>
      </c>
      <c r="F19" s="70"/>
      <c r="G19" s="75"/>
      <c r="H19" s="20"/>
      <c r="I19" s="20"/>
      <c r="J19" s="20"/>
      <c r="K19" s="20"/>
      <c r="L19" s="20"/>
      <c r="M19" s="20"/>
      <c r="N19" s="20"/>
      <c r="O19" s="20"/>
      <c r="P19" s="20"/>
      <c r="Q19" s="29"/>
      <c r="R19" s="21"/>
      <c r="T19" s="36"/>
      <c r="U19" s="45"/>
      <c r="V19" s="45"/>
      <c r="W19" s="45"/>
      <c r="X19" s="37"/>
      <c r="Y19" s="37"/>
      <c r="Z19" s="37"/>
      <c r="AA19" s="37"/>
      <c r="AB19" s="37"/>
      <c r="AC19" s="37"/>
      <c r="AD19" s="37"/>
    </row>
    <row r="20" spans="2:30" ht="15" thickBot="1" x14ac:dyDescent="0.4">
      <c r="B20" s="73" t="s">
        <v>51</v>
      </c>
      <c r="C20" s="70"/>
      <c r="D20" s="70"/>
      <c r="E20" s="29">
        <v>2</v>
      </c>
      <c r="F20" s="70"/>
      <c r="G20" s="76" t="s">
        <v>52</v>
      </c>
      <c r="H20" s="46" t="str">
        <f t="shared" ref="H20:Q20" si="6">IFERROR(H11+H16+H18,"")</f>
        <v/>
      </c>
      <c r="I20" s="46" t="str">
        <f t="shared" si="6"/>
        <v/>
      </c>
      <c r="J20" s="46" t="str">
        <f t="shared" si="6"/>
        <v/>
      </c>
      <c r="K20" s="46" t="str">
        <f t="shared" si="6"/>
        <v/>
      </c>
      <c r="L20" s="46" t="str">
        <f t="shared" si="6"/>
        <v/>
      </c>
      <c r="M20" s="46" t="str">
        <f t="shared" si="6"/>
        <v/>
      </c>
      <c r="N20" s="46" t="str">
        <f t="shared" si="6"/>
        <v/>
      </c>
      <c r="O20" s="46" t="str">
        <f t="shared" si="6"/>
        <v/>
      </c>
      <c r="P20" s="46" t="str">
        <f t="shared" si="6"/>
        <v/>
      </c>
      <c r="Q20" s="47" t="str">
        <f t="shared" si="6"/>
        <v/>
      </c>
      <c r="R20" s="21"/>
      <c r="T20" s="36"/>
      <c r="U20" s="37"/>
      <c r="V20" s="37"/>
      <c r="W20" s="37"/>
      <c r="X20" s="37"/>
      <c r="Y20" s="37"/>
      <c r="Z20" s="37"/>
      <c r="AA20" s="37"/>
      <c r="AB20" s="37"/>
      <c r="AC20" s="37"/>
      <c r="AD20" s="37"/>
    </row>
    <row r="21" spans="2:30" x14ac:dyDescent="0.35">
      <c r="B21" s="73" t="s">
        <v>53</v>
      </c>
      <c r="C21" s="70"/>
      <c r="D21" s="70"/>
      <c r="E21" s="29">
        <v>1</v>
      </c>
      <c r="F21" s="70"/>
      <c r="G21" s="70"/>
      <c r="H21" s="70"/>
      <c r="I21" s="70"/>
      <c r="J21" s="70"/>
      <c r="K21" s="70"/>
      <c r="L21" s="70"/>
      <c r="M21" s="70"/>
      <c r="N21" s="70"/>
      <c r="O21" s="70"/>
      <c r="P21" s="70"/>
      <c r="Q21" s="70"/>
    </row>
    <row r="22" spans="2:30" x14ac:dyDescent="0.35">
      <c r="B22" s="73" t="s">
        <v>54</v>
      </c>
      <c r="C22" s="70"/>
      <c r="D22" s="70"/>
      <c r="E22" s="29">
        <v>-2</v>
      </c>
      <c r="F22" s="70"/>
      <c r="G22" s="70"/>
      <c r="H22" s="70"/>
      <c r="I22" s="70"/>
      <c r="J22" s="70"/>
      <c r="K22" s="70"/>
      <c r="L22" s="70"/>
      <c r="M22" s="70"/>
      <c r="N22" s="70"/>
      <c r="O22" s="70"/>
      <c r="P22" s="70"/>
      <c r="Q22" s="70"/>
    </row>
    <row r="23" spans="2:30" ht="15" thickBot="1" x14ac:dyDescent="0.4">
      <c r="B23" s="78" t="s">
        <v>55</v>
      </c>
      <c r="C23" s="79"/>
      <c r="D23" s="79"/>
      <c r="E23" s="48">
        <v>-3</v>
      </c>
      <c r="F23" s="70"/>
      <c r="G23" s="70"/>
      <c r="H23" s="82"/>
      <c r="I23" s="70"/>
      <c r="J23" s="70"/>
      <c r="K23" s="70"/>
      <c r="L23" s="70"/>
      <c r="M23" s="70"/>
      <c r="N23" s="70"/>
      <c r="O23" s="70"/>
      <c r="P23" s="70"/>
      <c r="Q23" s="70"/>
    </row>
    <row r="24" spans="2:30" x14ac:dyDescent="0.35">
      <c r="B24" s="70"/>
      <c r="C24" s="70"/>
      <c r="D24" s="70"/>
      <c r="E24" s="70"/>
      <c r="F24" s="70"/>
      <c r="G24" s="77"/>
      <c r="H24" s="70"/>
      <c r="I24" s="70"/>
      <c r="J24" s="70"/>
      <c r="K24" s="70"/>
      <c r="L24" s="70"/>
      <c r="M24" s="70"/>
      <c r="N24" s="70"/>
      <c r="O24" s="70"/>
      <c r="P24" s="70"/>
      <c r="Q24" s="70"/>
    </row>
    <row r="26" spans="2:30" ht="15.5" x14ac:dyDescent="0.35">
      <c r="B26" s="80"/>
    </row>
    <row r="27" spans="2:30" x14ac:dyDescent="0.35">
      <c r="G27" s="81"/>
    </row>
  </sheetData>
  <mergeCells count="1">
    <mergeCell ref="T4:AD6"/>
  </mergeCells>
  <conditionalFormatting sqref="E11:E16">
    <cfRule type="colorScale" priority="4">
      <colorScale>
        <cfvo type="min"/>
        <cfvo type="percentile" val="50"/>
        <cfvo type="max"/>
        <color rgb="FFF8696B"/>
        <color rgb="FFFCFCFF"/>
        <color rgb="FF63BE7B"/>
      </colorScale>
    </cfRule>
  </conditionalFormatting>
  <conditionalFormatting sqref="E19:E23">
    <cfRule type="colorScale" priority="2">
      <colorScale>
        <cfvo type="min"/>
        <cfvo type="percentile" val="50"/>
        <cfvo type="max"/>
        <color rgb="FFF8696B"/>
        <color rgb="FFFCFCFF"/>
        <color rgb="FF63BE7B"/>
      </colorScale>
    </cfRule>
  </conditionalFormatting>
  <conditionalFormatting sqref="H12:Q12">
    <cfRule type="colorScale" priority="3">
      <colorScale>
        <cfvo type="min"/>
        <cfvo type="percentile" val="50"/>
        <cfvo type="max"/>
        <color rgb="FFF8696B"/>
        <color rgb="FFFCFCFF"/>
        <color rgb="FF63BE7B"/>
      </colorScale>
    </cfRule>
  </conditionalFormatting>
  <conditionalFormatting sqref="H20:Q2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F8FAC-DB7F-4EB1-AF69-1224A7D6FC19}">
  <sheetPr codeName="Sheet2"/>
  <dimension ref="A2:W25"/>
  <sheetViews>
    <sheetView topLeftCell="D1" zoomScale="109" zoomScaleNormal="100" workbookViewId="0">
      <selection activeCell="G26" sqref="G26:G27"/>
    </sheetView>
  </sheetViews>
  <sheetFormatPr defaultColWidth="8.6328125" defaultRowHeight="14.5" x14ac:dyDescent="0.35"/>
  <cols>
    <col min="1" max="1" width="65.6328125" style="52" hidden="1" customWidth="1"/>
    <col min="2" max="3" width="9.1796875" style="52" hidden="1" customWidth="1"/>
    <col min="4" max="4" width="9.1796875" style="52" customWidth="1"/>
    <col min="5" max="5" width="58" style="52" customWidth="1"/>
    <col min="6" max="6" width="2.6328125" style="52" customWidth="1"/>
    <col min="7" max="7" width="50.6328125" style="52" customWidth="1"/>
    <col min="8" max="9" width="19.453125" style="52" customWidth="1"/>
    <col min="10" max="10" width="4.6328125" style="52" hidden="1" customWidth="1"/>
    <col min="11" max="11" width="1.36328125" style="52" customWidth="1"/>
    <col min="12" max="12" width="7" style="52" customWidth="1"/>
    <col min="13" max="13" width="7.6328125" style="52" bestFit="1" customWidth="1"/>
    <col min="14" max="14" width="20.6328125" style="52" customWidth="1"/>
    <col min="15" max="15" width="2.453125" style="52" customWidth="1"/>
    <col min="16" max="16" width="30.36328125" style="52" customWidth="1"/>
    <col min="17" max="17" width="2.6328125" style="52" customWidth="1"/>
    <col min="18" max="18" width="18.6328125" style="51" customWidth="1"/>
    <col min="19" max="22" width="22.453125" style="51" customWidth="1"/>
    <col min="23" max="23" width="18.6328125" style="51" customWidth="1"/>
    <col min="24" max="16384" width="8.6328125" style="52"/>
  </cols>
  <sheetData>
    <row r="2" spans="1:20" ht="54.5" x14ac:dyDescent="1.5">
      <c r="A2" s="8"/>
      <c r="B2" s="8"/>
      <c r="C2" s="8"/>
      <c r="D2" s="50"/>
      <c r="E2" s="88" t="s">
        <v>68</v>
      </c>
      <c r="F2" s="89"/>
      <c r="G2" s="89"/>
      <c r="H2" s="89"/>
      <c r="I2" s="89"/>
      <c r="J2" s="90"/>
      <c r="K2" s="91"/>
      <c r="L2" s="91"/>
      <c r="M2" s="88" t="s">
        <v>69</v>
      </c>
      <c r="N2" s="87"/>
      <c r="O2" s="87"/>
      <c r="P2" s="87"/>
    </row>
    <row r="3" spans="1:20" s="51" customFormat="1" ht="15" thickBot="1" x14ac:dyDescent="0.4">
      <c r="A3" s="1"/>
      <c r="B3" s="1"/>
      <c r="C3" s="1"/>
      <c r="E3" s="1"/>
    </row>
    <row r="4" spans="1:20" ht="44.5" x14ac:dyDescent="0.5">
      <c r="A4" s="10"/>
      <c r="B4" s="11"/>
      <c r="C4" s="12" t="s">
        <v>56</v>
      </c>
      <c r="D4" s="50"/>
      <c r="E4" s="99" t="s">
        <v>57</v>
      </c>
      <c r="F4" s="50"/>
      <c r="G4" s="85" t="s">
        <v>58</v>
      </c>
      <c r="H4" s="86" t="s">
        <v>59</v>
      </c>
      <c r="I4" s="86" t="s">
        <v>60</v>
      </c>
      <c r="J4" s="60" t="s">
        <v>61</v>
      </c>
      <c r="M4" s="102" t="s">
        <v>62</v>
      </c>
      <c r="N4" s="102"/>
      <c r="O4" s="102"/>
      <c r="P4" s="102"/>
    </row>
    <row r="5" spans="1:20" ht="15" thickBot="1" x14ac:dyDescent="0.4">
      <c r="A5"/>
      <c r="B5"/>
      <c r="C5"/>
      <c r="E5" s="99"/>
      <c r="F5" s="50"/>
    </row>
    <row r="6" spans="1:20" ht="26" customHeight="1" x14ac:dyDescent="0.6">
      <c r="A6" s="13" t="str">
        <f>IF(G6&lt;&gt;"",COUNTIF($J6:J$6,J6),"")</f>
        <v/>
      </c>
      <c r="B6" s="8" t="str">
        <f t="shared" ref="B6:B24" si="0">IF(G6&lt;&gt;"",IFERROR(RANK(J6,$J$6:$J$24,0),1),"")</f>
        <v/>
      </c>
      <c r="C6" s="14" t="str">
        <f t="shared" ref="C6:C24" si="1">IF(ISNUMBER(B6),B6+A6-1,"")</f>
        <v/>
      </c>
      <c r="D6" s="50"/>
      <c r="E6" s="99"/>
      <c r="F6" s="50"/>
      <c r="G6" s="15"/>
      <c r="H6" s="15"/>
      <c r="I6" s="15"/>
      <c r="J6" t="str">
        <f t="shared" ref="J6:J24" si="2">IF(G6&lt;&gt;"",(2*H6+I6),"")</f>
        <v/>
      </c>
      <c r="L6" s="103">
        <v>1</v>
      </c>
      <c r="M6" s="105" t="str">
        <f>IFERROR(INDEX($A$4:$I$1048576,MATCH($L6,$C$4:$C$24,0),MATCH($G$4,$4:$4,0)),"")</f>
        <v/>
      </c>
      <c r="N6" s="106"/>
      <c r="O6" s="106"/>
      <c r="P6" s="107"/>
    </row>
    <row r="7" spans="1:20" ht="26" x14ac:dyDescent="0.6">
      <c r="A7" s="13" t="str">
        <f>IF(G7&lt;&gt;"",COUNTIF($J$6:J7,J7),"")</f>
        <v/>
      </c>
      <c r="B7" s="8" t="str">
        <f t="shared" si="0"/>
        <v/>
      </c>
      <c r="C7" s="16" t="str">
        <f t="shared" si="1"/>
        <v/>
      </c>
      <c r="D7" s="50"/>
      <c r="E7" s="99"/>
      <c r="F7" s="50"/>
      <c r="G7" s="15"/>
      <c r="H7" s="15"/>
      <c r="I7" s="15"/>
      <c r="J7" t="str">
        <f t="shared" si="2"/>
        <v/>
      </c>
      <c r="L7" s="104"/>
      <c r="M7" s="108"/>
      <c r="N7" s="109"/>
      <c r="O7" s="109"/>
      <c r="P7" s="110"/>
    </row>
    <row r="8" spans="1:20" ht="26" x14ac:dyDescent="0.6">
      <c r="A8" s="13" t="str">
        <f>IF(G8&lt;&gt;"",COUNTIF($J$6:J8,J8),"")</f>
        <v/>
      </c>
      <c r="B8" s="8" t="str">
        <f t="shared" si="0"/>
        <v/>
      </c>
      <c r="C8" s="16" t="str">
        <f>IF(ISNUMBER(B8),B8+A8-1,"")</f>
        <v/>
      </c>
      <c r="D8" s="50"/>
      <c r="E8" s="99"/>
      <c r="F8" s="50"/>
      <c r="G8" s="15"/>
      <c r="H8" s="15"/>
      <c r="I8" s="15"/>
      <c r="J8" t="str">
        <f t="shared" si="2"/>
        <v/>
      </c>
      <c r="L8" s="58"/>
    </row>
    <row r="9" spans="1:20" ht="26" x14ac:dyDescent="0.6">
      <c r="A9" s="13" t="str">
        <f>IF(G9&lt;&gt;"",COUNTIF($J$6:J9,J9),"")</f>
        <v/>
      </c>
      <c r="B9" s="8" t="str">
        <f t="shared" si="0"/>
        <v/>
      </c>
      <c r="C9" s="16" t="str">
        <f t="shared" si="1"/>
        <v/>
      </c>
      <c r="D9" s="50"/>
      <c r="E9" s="99"/>
      <c r="F9" s="50"/>
      <c r="G9" s="15"/>
      <c r="H9" s="15"/>
      <c r="I9" s="15"/>
      <c r="J9" t="str">
        <f t="shared" si="2"/>
        <v/>
      </c>
      <c r="L9" s="59">
        <v>2</v>
      </c>
      <c r="M9" s="111" t="str">
        <f t="shared" ref="M9:M14" si="3">IFERROR(INDEX($A$4:$I$1048576,MATCH($L9,$C$4:$C$24,0),MATCH($G$4,$4:$4,0)),"")</f>
        <v/>
      </c>
      <c r="N9" s="111"/>
      <c r="O9" s="111"/>
      <c r="P9" s="111"/>
    </row>
    <row r="10" spans="1:20" ht="26" x14ac:dyDescent="0.6">
      <c r="A10" s="13" t="str">
        <f>IF(G10&lt;&gt;"",COUNTIF($J$6:J10,J10),"")</f>
        <v/>
      </c>
      <c r="B10" s="8" t="str">
        <f t="shared" si="0"/>
        <v/>
      </c>
      <c r="C10" s="16" t="str">
        <f t="shared" si="1"/>
        <v/>
      </c>
      <c r="D10" s="50"/>
      <c r="E10" s="99"/>
      <c r="F10" s="50"/>
      <c r="G10" s="15"/>
      <c r="H10" s="15"/>
      <c r="I10" s="15"/>
      <c r="J10" t="str">
        <f t="shared" si="2"/>
        <v/>
      </c>
      <c r="L10" s="59">
        <v>3</v>
      </c>
      <c r="M10" s="111" t="str">
        <f t="shared" si="3"/>
        <v/>
      </c>
      <c r="N10" s="111"/>
      <c r="O10" s="111"/>
      <c r="P10" s="111"/>
    </row>
    <row r="11" spans="1:20" ht="26" x14ac:dyDescent="0.6">
      <c r="A11" s="13" t="str">
        <f>IF(G11&lt;&gt;"",COUNTIF($J$6:J11,J11),"")</f>
        <v/>
      </c>
      <c r="B11" s="8" t="str">
        <f t="shared" si="0"/>
        <v/>
      </c>
      <c r="C11" s="16" t="str">
        <f t="shared" si="1"/>
        <v/>
      </c>
      <c r="D11" s="50"/>
      <c r="E11" s="99"/>
      <c r="F11" s="50"/>
      <c r="G11" s="15"/>
      <c r="H11" s="15"/>
      <c r="I11" s="15"/>
      <c r="J11" t="str">
        <f t="shared" si="2"/>
        <v/>
      </c>
      <c r="L11" s="59">
        <v>4</v>
      </c>
      <c r="M11" s="111" t="str">
        <f t="shared" si="3"/>
        <v/>
      </c>
      <c r="N11" s="111"/>
      <c r="O11" s="111"/>
      <c r="P11" s="111"/>
    </row>
    <row r="12" spans="1:20" ht="26" x14ac:dyDescent="0.6">
      <c r="A12" s="13" t="str">
        <f>IF(G12&lt;&gt;"",COUNTIF($J$6:J12,J12),"")</f>
        <v/>
      </c>
      <c r="B12" s="8" t="str">
        <f>IF(G12&lt;&gt;"",IFERROR(RANK(J12,$J$6:$J$24,0),1),"")</f>
        <v/>
      </c>
      <c r="C12" s="16" t="str">
        <f t="shared" si="1"/>
        <v/>
      </c>
      <c r="D12" s="50"/>
      <c r="E12" s="99"/>
      <c r="F12" s="50"/>
      <c r="G12" s="15"/>
      <c r="H12" s="15"/>
      <c r="I12" s="15"/>
      <c r="J12" t="str">
        <f>IF(G12&lt;&gt;"",(2*H12+I12),"")</f>
        <v/>
      </c>
      <c r="L12" s="59">
        <v>5</v>
      </c>
      <c r="M12" s="111" t="str">
        <f t="shared" si="3"/>
        <v/>
      </c>
      <c r="N12" s="111"/>
      <c r="O12" s="111"/>
      <c r="P12" s="111"/>
      <c r="T12" s="51" t="s">
        <v>6</v>
      </c>
    </row>
    <row r="13" spans="1:20" ht="26" x14ac:dyDescent="0.6">
      <c r="A13" s="13" t="str">
        <f>IF(G13&lt;&gt;"",COUNTIF($J$6:J13,J13),"")</f>
        <v/>
      </c>
      <c r="B13" s="8" t="str">
        <f>IF(G13&lt;&gt;"",IFERROR(RANK(J13,$J$6:$J$24,0),1),"")</f>
        <v/>
      </c>
      <c r="C13" s="16" t="str">
        <f t="shared" si="1"/>
        <v/>
      </c>
      <c r="D13" s="50"/>
      <c r="E13" s="99"/>
      <c r="F13" s="50"/>
      <c r="G13" s="15"/>
      <c r="H13" s="15"/>
      <c r="I13" s="15"/>
      <c r="J13" t="str">
        <f>IF(G13&lt;&gt;"",(2*H13+I13),"")</f>
        <v/>
      </c>
      <c r="L13" s="59">
        <v>6</v>
      </c>
      <c r="M13" s="111" t="str">
        <f t="shared" si="3"/>
        <v/>
      </c>
      <c r="N13" s="111"/>
      <c r="O13" s="111"/>
      <c r="P13" s="111"/>
    </row>
    <row r="14" spans="1:20" ht="26" x14ac:dyDescent="0.6">
      <c r="A14" s="13" t="str">
        <f>IF(G14&lt;&gt;"",COUNTIF($J$6:J14,J14),"")</f>
        <v/>
      </c>
      <c r="B14" s="8" t="str">
        <f t="shared" si="0"/>
        <v/>
      </c>
      <c r="C14" s="16" t="str">
        <f>IF(ISNUMBER(B14),B14+A14-1,"")</f>
        <v/>
      </c>
      <c r="D14" s="50"/>
      <c r="E14" s="99"/>
      <c r="F14" s="50"/>
      <c r="G14" s="15"/>
      <c r="H14" s="15"/>
      <c r="I14" s="15"/>
      <c r="J14" t="str">
        <f t="shared" si="2"/>
        <v/>
      </c>
      <c r="L14" s="59">
        <v>7</v>
      </c>
      <c r="M14" s="111" t="str">
        <f t="shared" si="3"/>
        <v/>
      </c>
      <c r="N14" s="111"/>
      <c r="O14" s="111"/>
      <c r="P14" s="111"/>
    </row>
    <row r="15" spans="1:20" ht="26" x14ac:dyDescent="0.6">
      <c r="A15" s="13" t="str">
        <f>IF(G15&lt;&gt;"",COUNTIF($J$6:J15,J15),"")</f>
        <v/>
      </c>
      <c r="B15" s="8" t="str">
        <f t="shared" si="0"/>
        <v/>
      </c>
      <c r="C15" s="16" t="str">
        <f t="shared" si="1"/>
        <v/>
      </c>
      <c r="D15" s="50"/>
      <c r="E15" s="99"/>
      <c r="F15" s="50"/>
      <c r="G15" s="15"/>
      <c r="H15" s="15"/>
      <c r="I15" s="15"/>
      <c r="J15" t="str">
        <f t="shared" si="2"/>
        <v/>
      </c>
    </row>
    <row r="16" spans="1:20" ht="26" x14ac:dyDescent="0.6">
      <c r="A16" s="13" t="str">
        <f>IF(G16&lt;&gt;"",COUNTIF($J$6:J16,J16),"")</f>
        <v/>
      </c>
      <c r="B16" s="8" t="str">
        <f t="shared" si="0"/>
        <v/>
      </c>
      <c r="C16" s="16" t="str">
        <f t="shared" si="1"/>
        <v/>
      </c>
      <c r="D16" s="50"/>
      <c r="E16" s="99"/>
      <c r="F16" s="50"/>
      <c r="G16" s="15"/>
      <c r="H16" s="15"/>
      <c r="I16" s="15"/>
      <c r="J16" t="str">
        <f t="shared" si="2"/>
        <v/>
      </c>
      <c r="R16" s="52"/>
    </row>
    <row r="17" spans="1:16" ht="26" x14ac:dyDescent="0.6">
      <c r="A17" s="13" t="str">
        <f>IF(G17&lt;&gt;"",COUNTIF($J$6:J17,J17),"")</f>
        <v/>
      </c>
      <c r="B17" s="8" t="str">
        <f t="shared" si="0"/>
        <v/>
      </c>
      <c r="C17" s="16" t="str">
        <f t="shared" si="1"/>
        <v/>
      </c>
      <c r="D17" s="50"/>
      <c r="E17" s="99"/>
      <c r="F17" s="50"/>
      <c r="G17" s="15"/>
      <c r="H17" s="15"/>
      <c r="I17" s="15"/>
      <c r="J17" t="str">
        <f t="shared" si="2"/>
        <v/>
      </c>
    </row>
    <row r="18" spans="1:16" ht="26" x14ac:dyDescent="0.6">
      <c r="A18" s="13" t="str">
        <f>IF(G18&lt;&gt;"",COUNTIF($J$6:J18,J18),"")</f>
        <v/>
      </c>
      <c r="B18" s="8" t="str">
        <f t="shared" si="0"/>
        <v/>
      </c>
      <c r="C18" s="16" t="str">
        <f t="shared" si="1"/>
        <v/>
      </c>
      <c r="D18" s="50"/>
      <c r="E18" s="99"/>
      <c r="F18" s="50"/>
      <c r="G18" s="15"/>
      <c r="H18" s="15"/>
      <c r="I18" s="15"/>
      <c r="J18" t="str">
        <f t="shared" si="2"/>
        <v/>
      </c>
    </row>
    <row r="19" spans="1:16" ht="26" x14ac:dyDescent="0.6">
      <c r="A19" s="13" t="str">
        <f>IF(G19&lt;&gt;"",COUNTIF($J$6:J19,J19),"")</f>
        <v/>
      </c>
      <c r="B19" s="8" t="str">
        <f t="shared" si="0"/>
        <v/>
      </c>
      <c r="C19" s="16" t="str">
        <f t="shared" si="1"/>
        <v/>
      </c>
      <c r="D19" s="50"/>
      <c r="E19" s="99"/>
      <c r="F19" s="50"/>
      <c r="G19" s="15"/>
      <c r="H19" s="15"/>
      <c r="I19" s="15"/>
      <c r="J19" t="str">
        <f t="shared" si="2"/>
        <v/>
      </c>
    </row>
    <row r="20" spans="1:16" ht="26" x14ac:dyDescent="0.6">
      <c r="A20" s="13" t="str">
        <f>IF(G20&lt;&gt;"",COUNTIF($J$6:J20,J20),"")</f>
        <v/>
      </c>
      <c r="B20" s="8" t="str">
        <f t="shared" si="0"/>
        <v/>
      </c>
      <c r="C20" s="16" t="str">
        <f t="shared" si="1"/>
        <v/>
      </c>
      <c r="D20" s="50"/>
      <c r="E20" s="99"/>
      <c r="F20" s="50"/>
      <c r="G20" s="15"/>
      <c r="H20" s="15"/>
      <c r="I20" s="15"/>
      <c r="J20" t="str">
        <f t="shared" si="2"/>
        <v/>
      </c>
    </row>
    <row r="21" spans="1:16" ht="26" x14ac:dyDescent="0.6">
      <c r="A21" s="13" t="str">
        <f>IF(G21&lt;&gt;"",COUNTIF($J$6:J21,J21),"")</f>
        <v/>
      </c>
      <c r="B21" s="8" t="str">
        <f t="shared" si="0"/>
        <v/>
      </c>
      <c r="C21" s="16" t="str">
        <f t="shared" si="1"/>
        <v/>
      </c>
      <c r="D21" s="50"/>
      <c r="E21" s="99"/>
      <c r="F21" s="50"/>
      <c r="G21" s="15"/>
      <c r="H21" s="15"/>
      <c r="I21" s="15"/>
      <c r="J21" t="str">
        <f t="shared" si="2"/>
        <v/>
      </c>
    </row>
    <row r="22" spans="1:16" ht="26" x14ac:dyDescent="0.6">
      <c r="A22" s="13" t="str">
        <f>IF(G22&lt;&gt;"",COUNTIF($J$6:J22,J22),"")</f>
        <v/>
      </c>
      <c r="B22" s="8" t="str">
        <f t="shared" si="0"/>
        <v/>
      </c>
      <c r="C22" s="16" t="str">
        <f t="shared" si="1"/>
        <v/>
      </c>
      <c r="D22" s="50"/>
      <c r="E22" s="99"/>
      <c r="F22" s="50"/>
      <c r="G22" s="15"/>
      <c r="H22" s="15"/>
      <c r="I22" s="15"/>
      <c r="J22" t="str">
        <f t="shared" si="2"/>
        <v/>
      </c>
      <c r="M22" s="7" t="s">
        <v>63</v>
      </c>
      <c r="N22" s="100" t="s">
        <v>0</v>
      </c>
      <c r="O22" s="100"/>
      <c r="P22" s="101"/>
    </row>
    <row r="23" spans="1:16" ht="26" x14ac:dyDescent="0.6">
      <c r="A23" s="13" t="str">
        <f>IF(G23&lt;&gt;"",COUNTIF($J$6:J23,J23),"")</f>
        <v/>
      </c>
      <c r="B23" s="8" t="str">
        <f t="shared" si="0"/>
        <v/>
      </c>
      <c r="C23" s="16" t="str">
        <f t="shared" si="1"/>
        <v/>
      </c>
      <c r="D23" s="50"/>
      <c r="E23" s="99"/>
      <c r="F23" s="50"/>
      <c r="G23" s="15"/>
      <c r="H23" s="15"/>
      <c r="I23" s="15"/>
      <c r="J23" t="str">
        <f t="shared" si="2"/>
        <v/>
      </c>
    </row>
    <row r="24" spans="1:16" ht="26" x14ac:dyDescent="0.6">
      <c r="A24" s="13" t="str">
        <f>IF(G24&lt;&gt;"",COUNTIF($J$6:J24,J24),"")</f>
        <v/>
      </c>
      <c r="B24" s="8" t="str">
        <f t="shared" si="0"/>
        <v/>
      </c>
      <c r="C24" s="16" t="str">
        <f t="shared" si="1"/>
        <v/>
      </c>
      <c r="D24" s="50"/>
      <c r="E24" s="99"/>
      <c r="F24" s="50"/>
      <c r="G24" s="15"/>
      <c r="H24" s="15"/>
      <c r="I24" s="15"/>
      <c r="J24" t="str">
        <f t="shared" si="2"/>
        <v/>
      </c>
      <c r="M24" s="7" t="s">
        <v>8</v>
      </c>
      <c r="N24" s="96" t="s">
        <v>64</v>
      </c>
      <c r="O24" s="96"/>
      <c r="P24" s="97"/>
    </row>
    <row r="25" spans="1:16" ht="26" x14ac:dyDescent="0.55000000000000004">
      <c r="A25" s="53"/>
      <c r="B25" s="50"/>
      <c r="C25" s="54"/>
      <c r="D25" s="51"/>
      <c r="E25" s="51"/>
      <c r="G25" s="55"/>
      <c r="H25" s="55"/>
      <c r="I25" s="55"/>
      <c r="L25" s="56"/>
      <c r="M25" s="57"/>
      <c r="N25" s="57"/>
      <c r="O25" s="57"/>
      <c r="P25" s="57"/>
    </row>
  </sheetData>
  <mergeCells count="12">
    <mergeCell ref="E4:E24"/>
    <mergeCell ref="N22:P22"/>
    <mergeCell ref="N24:P24"/>
    <mergeCell ref="M4:P4"/>
    <mergeCell ref="L6:L7"/>
    <mergeCell ref="M6:P7"/>
    <mergeCell ref="M9:P9"/>
    <mergeCell ref="M10:P10"/>
    <mergeCell ref="M11:P11"/>
    <mergeCell ref="M12:P12"/>
    <mergeCell ref="M13:P13"/>
    <mergeCell ref="M14:P14"/>
  </mergeCells>
  <hyperlinks>
    <hyperlink ref="M18:M19" location="'FULL MARKET SEGMENTATION'!A1" display="TOP DRIVING FORCES" xr:uid="{80184F9C-CF08-4F36-A0ED-55E7116DACD6}"/>
    <hyperlink ref="N22:P22" location="'Market size'!A1" display="Market Size" xr:uid="{82FE04D7-830E-4A28-A00A-F2B37BE1A423}"/>
    <hyperlink ref="N24:P24" location="'Driving Forces impact'!A1" display="Driving Forces Impact" xr:uid="{7DE8D3DE-B300-4C46-A8F1-B866DA52258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2981D-C05C-4D8D-A73F-BE19F4E81F18}">
  <sheetPr codeName="Sheet3"/>
  <dimension ref="B2:W21"/>
  <sheetViews>
    <sheetView tabSelected="1" zoomScale="75" zoomScaleNormal="100" workbookViewId="0">
      <selection activeCell="K29" sqref="K29"/>
    </sheetView>
  </sheetViews>
  <sheetFormatPr defaultColWidth="8.6328125" defaultRowHeight="14.5" x14ac:dyDescent="0.35"/>
  <cols>
    <col min="1" max="1" width="8.6328125" style="52"/>
    <col min="2" max="2" width="42.6328125" style="66" customWidth="1"/>
    <col min="3" max="3" width="2.6328125" style="52" customWidth="1"/>
    <col min="4" max="4" width="29" style="52" customWidth="1"/>
    <col min="5" max="5" width="13.1796875" style="52" customWidth="1"/>
    <col min="6" max="6" width="9.1796875" style="52" customWidth="1"/>
    <col min="7" max="7" width="26.453125" style="52" customWidth="1"/>
    <col min="8" max="8" width="18.6328125" style="52" customWidth="1"/>
    <col min="9" max="15" width="30" style="52" customWidth="1"/>
    <col min="16" max="16" width="16.453125" style="52" hidden="1" customWidth="1"/>
    <col min="17" max="17" width="2.36328125" style="52" customWidth="1"/>
    <col min="18" max="18" width="18.6328125" style="51" customWidth="1"/>
    <col min="19" max="22" width="22.453125" style="51" customWidth="1"/>
    <col min="23" max="23" width="18.6328125" style="51" customWidth="1"/>
    <col min="24" max="16384" width="8.6328125" style="52"/>
  </cols>
  <sheetData>
    <row r="2" spans="2:20" ht="46" x14ac:dyDescent="1">
      <c r="B2" s="112" t="s">
        <v>71</v>
      </c>
      <c r="C2" s="112"/>
      <c r="D2" s="112"/>
      <c r="E2" s="112"/>
      <c r="F2" s="112"/>
      <c r="G2" s="112"/>
      <c r="H2" s="112"/>
      <c r="I2" s="112"/>
      <c r="J2" s="112"/>
      <c r="K2" s="112"/>
      <c r="L2" s="112"/>
      <c r="M2" s="112"/>
      <c r="N2" s="112"/>
      <c r="O2" s="112"/>
      <c r="P2" s="9"/>
    </row>
    <row r="3" spans="2:20" s="51" customFormat="1" ht="8.25" customHeight="1" x14ac:dyDescent="0.35">
      <c r="B3" s="67"/>
      <c r="Q3" s="52"/>
    </row>
    <row r="4" spans="2:20" s="51" customFormat="1" ht="66" customHeight="1" x14ac:dyDescent="0.35">
      <c r="B4" s="93" t="s">
        <v>65</v>
      </c>
      <c r="I4" s="17" t="str">
        <f>'Driving Forces brainstorm'!M6</f>
        <v/>
      </c>
      <c r="J4" s="17" t="str">
        <f>'Driving Forces brainstorm'!M9</f>
        <v/>
      </c>
      <c r="K4" s="17" t="str">
        <f>'Driving Forces brainstorm'!M10</f>
        <v/>
      </c>
      <c r="L4" s="17" t="str">
        <f>'Driving Forces brainstorm'!M11</f>
        <v/>
      </c>
      <c r="M4" s="17" t="str">
        <f>'Driving Forces brainstorm'!M12</f>
        <v/>
      </c>
      <c r="N4" s="17" t="str">
        <f>'Driving Forces brainstorm'!M13</f>
        <v/>
      </c>
      <c r="O4" s="17" t="str">
        <f>'Driving Forces brainstorm'!M14</f>
        <v/>
      </c>
      <c r="P4" s="1"/>
      <c r="Q4" s="52"/>
    </row>
    <row r="5" spans="2:20" s="51" customFormat="1" ht="26" x14ac:dyDescent="0.6">
      <c r="B5" s="94"/>
      <c r="D5" s="61" t="s">
        <v>2</v>
      </c>
      <c r="E5" s="61"/>
      <c r="F5" s="61"/>
      <c r="G5" s="61"/>
      <c r="H5" s="61"/>
      <c r="I5" s="49">
        <v>0.05</v>
      </c>
      <c r="J5" s="49">
        <v>0.1</v>
      </c>
      <c r="K5" s="18">
        <v>-0.05</v>
      </c>
      <c r="L5" s="18"/>
      <c r="M5" s="18"/>
      <c r="N5" s="18"/>
      <c r="O5" s="18"/>
      <c r="P5" s="1">
        <f>(1+SUM(I5:O5))*'Market size'!J5</f>
        <v>11000</v>
      </c>
      <c r="Q5" s="52"/>
    </row>
    <row r="6" spans="2:20" s="51" customFormat="1" ht="26" x14ac:dyDescent="0.6">
      <c r="B6" s="94"/>
      <c r="D6" s="61" t="s">
        <v>3</v>
      </c>
      <c r="E6" s="61"/>
      <c r="F6" s="61"/>
      <c r="G6" s="61"/>
      <c r="H6" s="61"/>
      <c r="I6" s="18"/>
      <c r="J6" s="18"/>
      <c r="K6" s="18"/>
      <c r="L6" s="18"/>
      <c r="M6" s="18"/>
      <c r="N6" s="18"/>
      <c r="O6" s="18"/>
      <c r="P6" s="1">
        <f>(1+SUM(I6:O6))*'Market size'!J6</f>
        <v>35000</v>
      </c>
      <c r="Q6" s="52"/>
    </row>
    <row r="7" spans="2:20" s="51" customFormat="1" ht="26" x14ac:dyDescent="0.6">
      <c r="B7" s="94"/>
      <c r="D7" s="61" t="s">
        <v>4</v>
      </c>
      <c r="E7" s="61"/>
      <c r="F7" s="61"/>
      <c r="G7" s="61"/>
      <c r="H7" s="61"/>
      <c r="I7" s="18"/>
      <c r="J7" s="18"/>
      <c r="K7" s="18"/>
      <c r="L7" s="18"/>
      <c r="M7" s="18"/>
      <c r="N7" s="18"/>
      <c r="O7" s="18"/>
      <c r="P7" s="1">
        <f>(1+SUM(I7:O7))*'Market size'!J7</f>
        <v>1</v>
      </c>
      <c r="Q7" s="52"/>
    </row>
    <row r="8" spans="2:20" ht="26" x14ac:dyDescent="0.6">
      <c r="B8" s="94"/>
      <c r="D8" s="61" t="s">
        <v>5</v>
      </c>
      <c r="E8" s="61"/>
      <c r="F8" s="61"/>
      <c r="G8" s="61"/>
      <c r="H8" s="61"/>
      <c r="I8" s="18">
        <v>1</v>
      </c>
      <c r="J8" s="18"/>
      <c r="K8" s="18"/>
      <c r="L8" s="18"/>
      <c r="M8" s="18"/>
      <c r="N8" s="18"/>
      <c r="O8" s="18"/>
      <c r="P8" s="19">
        <f>(1+SUM(I8:O8))*'Market size'!J8</f>
        <v>0.3</v>
      </c>
    </row>
    <row r="9" spans="2:20" ht="39.75" customHeight="1" x14ac:dyDescent="0.35">
      <c r="B9" s="94"/>
    </row>
    <row r="10" spans="2:20" ht="36" x14ac:dyDescent="0.8">
      <c r="B10" s="94"/>
      <c r="D10" s="5" t="s">
        <v>66</v>
      </c>
      <c r="E10" s="6">
        <f ca="1">YEAR(TODAY())+3</f>
        <v>2028</v>
      </c>
      <c r="G10" s="113">
        <f>P5</f>
        <v>11000</v>
      </c>
      <c r="H10" s="113"/>
    </row>
    <row r="11" spans="2:20" ht="9" customHeight="1" x14ac:dyDescent="0.35">
      <c r="B11" s="94"/>
    </row>
    <row r="12" spans="2:20" ht="36" x14ac:dyDescent="0.8">
      <c r="B12" s="94"/>
      <c r="D12" s="5" t="s">
        <v>0</v>
      </c>
      <c r="E12" s="6">
        <f ca="1">YEAR(TODAY())+3</f>
        <v>2028</v>
      </c>
      <c r="G12" s="114">
        <f>'Market size'!H11*((1+SUM(I5:O5))*(1+SUM(I6:O6))*(1+SUM(I7:O7)))</f>
        <v>385000000.00000006</v>
      </c>
      <c r="H12" s="114"/>
      <c r="M12" s="7" t="s">
        <v>63</v>
      </c>
      <c r="N12" s="100" t="s">
        <v>9</v>
      </c>
      <c r="O12" s="101"/>
      <c r="P12">
        <f>P5*P6*P7</f>
        <v>385000000</v>
      </c>
      <c r="T12" s="51" t="s">
        <v>6</v>
      </c>
    </row>
    <row r="13" spans="2:20" ht="9.75" customHeight="1" x14ac:dyDescent="0.65">
      <c r="B13" s="94"/>
      <c r="D13" s="51"/>
      <c r="E13" s="51"/>
      <c r="G13" s="51"/>
      <c r="H13" s="68"/>
      <c r="P13"/>
    </row>
    <row r="14" spans="2:20" ht="36" x14ac:dyDescent="0.8">
      <c r="B14" s="94"/>
      <c r="D14" s="5" t="s">
        <v>7</v>
      </c>
      <c r="E14" s="6">
        <f ca="1">YEAR(TODAY())+3</f>
        <v>2028</v>
      </c>
      <c r="G14" s="114">
        <f>G12*'Market size'!J8*(1+SUM(I8:O8))</f>
        <v>115500000.00000001</v>
      </c>
      <c r="H14" s="114"/>
      <c r="M14" s="7" t="s">
        <v>8</v>
      </c>
      <c r="N14" s="96" t="s">
        <v>67</v>
      </c>
      <c r="O14" s="96"/>
      <c r="P14">
        <f>P12*P8</f>
        <v>115500000</v>
      </c>
      <c r="T14" s="51" t="s">
        <v>6</v>
      </c>
    </row>
    <row r="18" spans="4:18" x14ac:dyDescent="0.35">
      <c r="R18" s="52"/>
    </row>
    <row r="21" spans="4:18" ht="28.5" x14ac:dyDescent="0.65">
      <c r="D21" s="51"/>
      <c r="E21" s="51"/>
      <c r="G21" s="51"/>
      <c r="H21" s="68"/>
    </row>
  </sheetData>
  <mergeCells count="7">
    <mergeCell ref="B2:O2"/>
    <mergeCell ref="B4:B14"/>
    <mergeCell ref="G10:H10"/>
    <mergeCell ref="G12:H12"/>
    <mergeCell ref="N12:O12"/>
    <mergeCell ref="G14:H14"/>
    <mergeCell ref="N14:O14"/>
  </mergeCells>
  <hyperlinks>
    <hyperlink ref="N12:O12" location="'Driving Forces brainstorm'!A1" display="Driving Forces Brainstorm" xr:uid="{39C65922-24B5-4C22-9E95-7EDA8B1E6121}"/>
    <hyperlink ref="N14:O14" location="'Segment brainstorm'!A1" display="Segment Brainstorm" xr:uid="{9E75D1AB-FD46-466A-9535-CB1E462F2D1F}"/>
    <hyperlink ref="N14" location="'Segment Brainstorm'!A1" display="Segmentation Brainstorm" xr:uid="{5C91F78A-2B38-4D00-ABD6-794E1213C97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Market size</vt:lpstr>
      <vt:lpstr>Market Attractiveness</vt:lpstr>
      <vt:lpstr>Driving Forces brainstorm</vt:lpstr>
      <vt:lpstr>Driving Forces impact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Afrodita</dc:creator>
  <cp:keywords/>
  <dc:description/>
  <cp:lastModifiedBy>Ivan Hristov</cp:lastModifiedBy>
  <cp:revision/>
  <dcterms:created xsi:type="dcterms:W3CDTF">2022-06-23T14:07:23Z</dcterms:created>
  <dcterms:modified xsi:type="dcterms:W3CDTF">2025-12-04T13:29:25Z</dcterms:modified>
  <cp:category/>
  <cp:contentStatus/>
</cp:coreProperties>
</file>